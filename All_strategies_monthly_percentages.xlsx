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68689376-FA66-4407-9B0B-E3ACA3F8E631}" xr6:coauthVersionLast="47" xr6:coauthVersionMax="47" xr10:uidLastSave="{00000000-0000-0000-0000-000000000000}"/>
  <bookViews>
    <workbookView xWindow="-120" yWindow="-120" windowWidth="29040" windowHeight="16440" tabRatio="775" activeTab="1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6" i="10" l="1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<sst xmlns="http://schemas.openxmlformats.org/spreadsheetml/2006/main" count="624" uniqueCount="144">
  <si>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</si>
  <si>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</si>
  <si>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</si>
  <si>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</si>
  <si>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</si>
  <si>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</si>
  <si>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</si>
  <si>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</si>
  <si>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</si>
  <si>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</si>
  <si>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</si>
  <si>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</si>
  <si>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</si>
  <si>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</si>
  <si>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</si>
  <si>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</si>
  <si>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</si>
  <si>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</si>
  <si>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</si>
  <si>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</si>
  <si>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</si>
  <si>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</si>
  <si>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</si>
  <si>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</si>
  <si>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</si>
  <si>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</si>
  <si>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</si>
  <si>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</si>
  <si>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</si>
  <si>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</si>
  <si>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</si>
  <si>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</si>
  <si>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</si>
  <si>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</si>
  <si>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</si>
  <si>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</si>
  <si>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</si>
  <si>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</si>
  <si>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</si>
  <si>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</si>
  <si>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</si>
  <si>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</si>
  <si>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</si>
  <si>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</si>
  <si>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</si>
  <si>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</si>
  <si>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</si>
  <si>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</si>
  <si>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</si>
  <si>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</si>
  <si>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</si>
  <si>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</si>
  <si>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</si>
  <si>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</si>
  <si>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</si>
  <si>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</si>
  <si>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 xml:space="preserve"> 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</si>
  <si>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</si>
  <si>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</si>
  <si>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</si>
  <si>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</si>
  <si>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</si>
  <si>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</si>
  <si>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</si>
  <si>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</si>
  <si>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</si>
  <si>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</si>
  <si>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</si>
  <si>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</si>
  <si>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</si>
  <si>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</si>
  <si>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</si>
  <si>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</si>
  <si>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</si>
  <si>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</si>
  <si>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</si>
  <si>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</si>
  <si>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</si>
  <si>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</si>
  <si>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</si>
  <si>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</si>
  <si>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</si>
  <si>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</si>
  <si>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</si>
  <si>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</si>
  <si>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</si>
  <si>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</si>
  <si>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</si>
  <si>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</si>
  <si>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</si>
  <si>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</si>
  <si>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</si>
  <si>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</si>
  <si>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</si>
  <si>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</si>
  <si>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</si>
  <si>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</si>
  <si>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</si>
  <si>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</si>
  <si>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</si>
  <si>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</si>
  <si>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</si>
  <si>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</si>
  <si>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</si>
  <si>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</si>
  <si>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</si>
  <si>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</si>
  <si>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</si>
  <si>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</si>
  <si>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</si>
  <si>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</si>
  <si>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</si>
  <si>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</si>
  <si>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</si>
  <si>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</si>
  <si>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Month</t>
  </si>
  <si>
    <t>Jan</t>
  </si>
  <si>
    <t>Feb</t>
  </si>
  <si>
    <t>Mar</t>
  </si>
  <si>
    <t>—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</si>
  <si>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</si>
  <si>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</si>
  <si>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</si>
  <si>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</si>
  <si>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</si>
  <si>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</si>
  <si>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</si>
  <si>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</si>
  <si>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</si>
  <si>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LYP6</t>
  </si>
  <si>
    <t>TR</t>
  </si>
  <si>
    <t>TR212</t>
  </si>
  <si>
    <t>ALL</t>
  </si>
  <si>
    <t>VWCE</t>
  </si>
  <si>
    <t>+0.98% (MTD)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</si>
  <si>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</si>
  <si>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</si>
  <si>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</si>
  <si>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</si>
  <si>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</si>
  <si>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</si>
  <si>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</si>
  <si>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</si>
  <si>
    <t>Uranium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</si>
</sst>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7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6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  <xf numFmtId="14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I72"/>
  <sheetViews>
    <sheetView workbookViewId="0">
      <pane ySplit="1" topLeftCell="A46" activePane="bottomLeft" state="frozen"/>
      <selection pane="bottomLeft" activeCell="H76" sqref="H76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0.140625" customWidth="1"/>
    <col min="18" max="18" width="10.7109375" bestFit="1" customWidth="1"/>
    <col min="20" max="20" width="13.85546875" bestFit="1" customWidth="1"/>
    <col min="21" max="21" width="16.28515625" customWidth="1"/>
    <col min="27" max="28" width="9.140625" style="10"/>
  </cols>
  <sheetData>
    <row r="1" spans="1:28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135</v>
      </c>
      <c r="Q1" t="s">
        <v>141</v>
      </c>
      <c r="R1" t="s">
        <v>47</v>
      </c>
      <c r="S1" t="s">
        <v>48</v>
      </c>
      <c r="T1" t="s">
        <v>51</v>
      </c>
      <c r="U1" t="s">
        <v>140</v>
      </c>
      <c r="V1" t="s">
        <v>132</v>
      </c>
      <c r="W1" t="s">
        <v>113</v>
      </c>
      <c r="X1" t="s">
        <v>130</v>
      </c>
      <c r="Y1" t="s">
        <v>131</v>
      </c>
      <c r="Z1" t="s">
        <v>114</v>
      </c>
      <c r="AA1" s="10" t="s">
        <v>129</v>
      </c>
      <c r="AB1" s="10" t="s">
        <v>133</v>
      </c>
    </row>
    <row r="2" spans="1:28" x14ac:dyDescent="0.25">
      <c r="A2" s="1">
        <v>43952</v>
      </c>
      <c r="B2" s="11">
        <v>0</v>
      </c>
      <c r="R2" s="10">
        <v>0</v>
      </c>
    </row>
    <row r="3" spans="1:28" x14ac:dyDescent="0.25">
      <c r="A3" s="1">
        <v>43983</v>
      </c>
      <c r="B3" s="3">
        <v>1.1000000000000001E-3</v>
      </c>
      <c r="R3" s="10">
        <v>1.1000000000000001E-3</v>
      </c>
    </row>
    <row r="4" spans="1:28" x14ac:dyDescent="0.25">
      <c r="A4" s="1">
        <v>44013</v>
      </c>
      <c r="B4" s="3">
        <v>8.2000000000000003E-2</v>
      </c>
      <c r="R4" s="10">
        <v>8.2000000000000003E-2</v>
      </c>
    </row>
    <row r="5" spans="1:28" x14ac:dyDescent="0.25">
      <c r="A5" s="1">
        <v>44044</v>
      </c>
      <c r="B5" s="3">
        <v>0.5071</v>
      </c>
      <c r="R5" s="10">
        <v>0.5071</v>
      </c>
    </row>
    <row r="6" spans="1:28" x14ac:dyDescent="0.25">
      <c r="A6" s="1">
        <v>44075</v>
      </c>
      <c r="B6" s="3">
        <v>0.2225</v>
      </c>
      <c r="R6" s="10">
        <v>0.2225</v>
      </c>
    </row>
    <row r="7" spans="1:28" x14ac:dyDescent="0.25">
      <c r="A7" s="1">
        <v>44105</v>
      </c>
      <c r="B7" s="3">
        <v>2.07E-2</v>
      </c>
      <c r="R7" s="10">
        <v>2.07E-2</v>
      </c>
    </row>
    <row r="8" spans="1:28" x14ac:dyDescent="0.25">
      <c r="A8" s="1">
        <v>44136</v>
      </c>
      <c r="B8" s="3">
        <v>4.8099999999999997E-2</v>
      </c>
      <c r="R8" s="10">
        <v>4.8099999999999997E-2</v>
      </c>
    </row>
    <row r="9" spans="1:28" x14ac:dyDescent="0.25">
      <c r="A9" s="1">
        <v>44166</v>
      </c>
      <c r="B9" s="3">
        <v>0.36799999999999999</v>
      </c>
      <c r="R9" s="10">
        <v>0.36799999999999999</v>
      </c>
    </row>
    <row r="10" spans="1:28" x14ac:dyDescent="0.25">
      <c r="A10" s="1">
        <v>44197</v>
      </c>
      <c r="B10" s="3">
        <v>5.5399999999999998E-2</v>
      </c>
      <c r="R10" s="10">
        <v>5.5399999999999998E-2</v>
      </c>
    </row>
    <row r="11" spans="1:28" x14ac:dyDescent="0.25">
      <c r="A11" s="1">
        <v>44228</v>
      </c>
      <c r="B11" s="3">
        <v>0.1298</v>
      </c>
      <c r="R11" s="10">
        <v>0.1298</v>
      </c>
    </row>
    <row r="12" spans="1:28" x14ac:dyDescent="0.25">
      <c r="A12" s="1">
        <v>44256</v>
      </c>
      <c r="B12" s="3">
        <v>-6.6799999999999998E-2</v>
      </c>
      <c r="R12" s="10">
        <v>-6.6799999999999998E-2</v>
      </c>
    </row>
    <row r="13" spans="1:28" x14ac:dyDescent="0.25">
      <c r="A13" s="1">
        <v>44287</v>
      </c>
      <c r="B13" s="3">
        <v>0.2326</v>
      </c>
      <c r="R13" s="10">
        <v>0.2326</v>
      </c>
    </row>
    <row r="14" spans="1:28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R14" s="10">
        <v>8.6999999999999994E-2</v>
      </c>
    </row>
    <row r="15" spans="1:28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R15" s="10">
        <v>-1.89E-2</v>
      </c>
    </row>
    <row r="16" spans="1:28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R16" s="10">
        <v>6.1199999999999997E-2</v>
      </c>
    </row>
    <row r="17" spans="1:18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R17" s="10">
        <v>6.0600000000000001E-2</v>
      </c>
    </row>
    <row r="18" spans="1:18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R18" s="10">
        <v>6.3200000000000006E-2</v>
      </c>
    </row>
    <row r="19" spans="1:18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R19" s="10">
        <v>7.9899999999999999E-2</v>
      </c>
    </row>
    <row r="20" spans="1:18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R20" s="10">
        <v>2.3099999999999999E-2</v>
      </c>
    </row>
    <row r="21" spans="1:18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R21" s="10">
        <v>-2.1499999999999998E-2</v>
      </c>
    </row>
    <row r="22" spans="1:18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R22" s="10">
        <v>-7.3999999999999996E-2</v>
      </c>
    </row>
    <row r="23" spans="1:18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R23" s="10">
        <v>-1.89E-2</v>
      </c>
    </row>
    <row r="24" spans="1:18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R24" s="10">
        <v>1.4200000000000001E-2</v>
      </c>
    </row>
    <row r="25" spans="1:18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R25" s="10">
        <v>-1.4200000000000001E-2</v>
      </c>
    </row>
    <row r="26" spans="1:18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R26" s="10">
        <v>-2.5499999999999998E-2</v>
      </c>
    </row>
    <row r="27" spans="1:18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R27" s="10">
        <v>-9.0399999999999994E-2</v>
      </c>
    </row>
    <row r="28" spans="1:18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R28" s="10">
        <v>1.6199999999999999E-2</v>
      </c>
    </row>
    <row r="29" spans="1:18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R29" s="10">
        <v>1.6E-2</v>
      </c>
    </row>
    <row r="30" spans="1:18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R30" s="10">
        <v>-1.0999999999999999E-2</v>
      </c>
    </row>
    <row r="31" spans="1:18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R31" s="10">
        <v>-1.5699999999999999E-2</v>
      </c>
    </row>
    <row r="32" spans="1:18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R32" s="10">
        <v>1.17E-2</v>
      </c>
    </row>
    <row r="33" spans="1:35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R33" s="10">
        <v>-2.7000000000000001E-3</v>
      </c>
      <c r="Z33">
        <v>0</v>
      </c>
      <c r="AA33" s="10">
        <v>0</v>
      </c>
      <c r="AE33" t="s">
        <v>115</v>
      </c>
      <c r="AF33">
        <v>2023</v>
      </c>
      <c r="AG33">
        <v>2024</v>
      </c>
      <c r="AH33">
        <v>2025</v>
      </c>
      <c r="AI33">
        <v>2026</v>
      </c>
    </row>
    <row r="34" spans="1:35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R34" s="10">
        <v>3.5000000000000001E-3</v>
      </c>
      <c r="Z34" s="2">
        <v>4.1200000000000001E-2</v>
      </c>
      <c r="AA34" s="2">
        <v>6.7400000000000002E-2</v>
      </c>
      <c r="AB34" s="2">
        <v>5.3100000000000001E-2</v>
      </c>
      <c r="AE34" t="s">
        <v>116</v>
      </c>
    </row>
    <row r="35" spans="1:35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R35" s="10">
        <v>9.2999999999999992E-3</v>
      </c>
      <c r="Z35" s="2">
        <v>-1.18E-2</v>
      </c>
      <c r="AA35" s="2">
        <v>1.89E-2</v>
      </c>
      <c r="AB35" s="2">
        <v>6.4999999999999997E-3</v>
      </c>
      <c r="AE35" t="s">
        <v>117</v>
      </c>
      <c r="AI35" t="s">
        <v>134</v>
      </c>
    </row>
    <row r="36" spans="1:35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R36" s="10">
        <v>3.5200000000000002E-2</v>
      </c>
      <c r="Z36" s="2">
        <v>-3.7199999999999997E-2</v>
      </c>
      <c r="AA36" s="2">
        <v>-6.7999999999999996E-3</v>
      </c>
      <c r="AB36" s="2">
        <v>4.1999999999999997E-3</v>
      </c>
      <c r="AE36" t="s">
        <v>118</v>
      </c>
      <c r="AI36" t="s">
        <v>119</v>
      </c>
    </row>
    <row r="37" spans="1:35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R37" s="10">
        <v>-1.0800000000000001E-2</v>
      </c>
      <c r="Z37" s="2">
        <v>3.85E-2</v>
      </c>
      <c r="AA37" s="2">
        <v>2.5399999999999999E-2</v>
      </c>
      <c r="AB37" s="2">
        <v>-6.1999999999999998E-3</v>
      </c>
      <c r="AE37" t="s">
        <v>120</v>
      </c>
      <c r="AI37" t="s">
        <v>119</v>
      </c>
    </row>
    <row r="38" spans="1:35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R38" s="10">
        <v>-1.2E-2</v>
      </c>
      <c r="S38" s="12">
        <v>0</v>
      </c>
      <c r="T38" s="10">
        <v>0</v>
      </c>
      <c r="U38" s="10">
        <v>0</v>
      </c>
      <c r="Z38" s="2">
        <v>-6.0400000000000002E-2</v>
      </c>
      <c r="AA38" s="2">
        <v>-2.4799999999999999E-2</v>
      </c>
      <c r="AB38" s="2">
        <v>2.4799999999999999E-2</v>
      </c>
      <c r="AE38" t="s">
        <v>121</v>
      </c>
      <c r="AI38" t="s">
        <v>119</v>
      </c>
    </row>
    <row r="39" spans="1:35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R39" s="10">
        <v>8.6E-3</v>
      </c>
      <c r="S39" s="10">
        <v>1.6000000000000001E-3</v>
      </c>
      <c r="T39" s="2">
        <v>2.63E-2</v>
      </c>
      <c r="U39" s="2">
        <v>2.63E-2</v>
      </c>
      <c r="Z39" s="2">
        <v>4.9200000000000001E-2</v>
      </c>
      <c r="AA39" s="2">
        <v>2.41E-2</v>
      </c>
      <c r="AB39" s="2">
        <v>3.32E-2</v>
      </c>
      <c r="AE39" t="s">
        <v>122</v>
      </c>
      <c r="AI39" t="s">
        <v>119</v>
      </c>
    </row>
    <row r="40" spans="1:35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R40" s="10">
        <v>3.61E-2</v>
      </c>
      <c r="S40" s="10">
        <v>8.8000000000000005E-3</v>
      </c>
      <c r="T40" s="2">
        <v>1.9300000000000001E-2</v>
      </c>
      <c r="U40" s="2">
        <v>1.9300000000000001E-2</v>
      </c>
      <c r="Z40" s="2">
        <v>3.5099999999999999E-2</v>
      </c>
      <c r="AA40" s="2">
        <v>2.0199999999999999E-2</v>
      </c>
      <c r="AB40" s="2">
        <v>1.8499999999999999E-2</v>
      </c>
      <c r="AE40" t="s">
        <v>123</v>
      </c>
      <c r="AI40" t="s">
        <v>119</v>
      </c>
    </row>
    <row r="41" spans="1:35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R41" s="10">
        <v>-2.1000000000000001E-2</v>
      </c>
      <c r="S41" s="10">
        <v>-4.0000000000000001E-3</v>
      </c>
      <c r="T41" s="2">
        <v>-2.0299999999999999E-2</v>
      </c>
      <c r="U41" s="2">
        <v>-2.0299999999999999E-2</v>
      </c>
      <c r="Z41" s="2">
        <v>-3.2399999999999998E-2</v>
      </c>
      <c r="AA41" s="2">
        <v>-2.4500000000000001E-2</v>
      </c>
      <c r="AB41" s="2">
        <v>-1.52E-2</v>
      </c>
      <c r="AE41" t="s">
        <v>124</v>
      </c>
      <c r="AI41" t="s">
        <v>119</v>
      </c>
    </row>
    <row r="42" spans="1:35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R42" s="10">
        <v>-8.6E-3</v>
      </c>
      <c r="S42" s="10">
        <v>-1.21E-2</v>
      </c>
      <c r="T42" s="2">
        <v>-1.9099999999999999E-2</v>
      </c>
      <c r="U42" s="2">
        <v>-1.9099999999999999E-2</v>
      </c>
      <c r="Z42" s="2">
        <v>-1.2200000000000001E-2</v>
      </c>
      <c r="AA42" s="2">
        <v>-1.61E-2</v>
      </c>
      <c r="AB42" s="2">
        <v>-1.8200000000000001E-2</v>
      </c>
      <c r="AE42" t="s">
        <v>125</v>
      </c>
      <c r="AI42" t="s">
        <v>119</v>
      </c>
    </row>
    <row r="43" spans="1:35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R43" s="10">
        <v>-1.49E-2</v>
      </c>
      <c r="S43" s="10">
        <v>-1.03E-2</v>
      </c>
      <c r="T43" s="2">
        <v>-3.3300000000000003E-2</v>
      </c>
      <c r="U43" s="2">
        <v>-3.3300000000000003E-2</v>
      </c>
      <c r="Z43" s="2">
        <v>-4.0099999999999997E-2</v>
      </c>
      <c r="AA43" s="2">
        <v>-3.6400000000000002E-2</v>
      </c>
      <c r="AB43" s="2">
        <v>-3.5099999999999999E-2</v>
      </c>
      <c r="AE43" t="s">
        <v>126</v>
      </c>
      <c r="AI43" t="s">
        <v>119</v>
      </c>
    </row>
    <row r="44" spans="1:35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R44" s="10">
        <v>-6.8199999999999997E-2</v>
      </c>
      <c r="S44" s="10">
        <v>2.6699999999999998E-2</v>
      </c>
      <c r="T44" s="2">
        <v>4.2500000000000003E-2</v>
      </c>
      <c r="U44" s="2">
        <v>4.2500000000000003E-2</v>
      </c>
      <c r="Z44" s="40">
        <v>7.8200000000000006E-2</v>
      </c>
      <c r="AA44" s="40">
        <v>6.4199999999999993E-2</v>
      </c>
      <c r="AB44" s="40">
        <v>6.2399999999999997E-2</v>
      </c>
      <c r="AE44" t="s">
        <v>127</v>
      </c>
      <c r="AI44" t="s">
        <v>119</v>
      </c>
    </row>
    <row r="45" spans="1:35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R45" s="10">
        <v>0.11799999999999999</v>
      </c>
      <c r="S45" s="10">
        <v>2.07E-2</v>
      </c>
      <c r="T45" s="2">
        <v>6.1199999999999997E-2</v>
      </c>
      <c r="U45" s="2">
        <v>6.1199999999999997E-2</v>
      </c>
      <c r="Z45" s="2">
        <v>6.2100000000000002E-2</v>
      </c>
      <c r="AA45" s="2">
        <v>3.8100000000000002E-2</v>
      </c>
      <c r="AB45" s="2">
        <v>3.5200000000000002E-2</v>
      </c>
      <c r="AE45" t="s">
        <v>128</v>
      </c>
      <c r="AI45" t="s">
        <v>119</v>
      </c>
    </row>
    <row r="46" spans="1:35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R46" s="10">
        <v>1.12E-2</v>
      </c>
      <c r="S46" s="10">
        <v>4.6999999999999993E-3</v>
      </c>
      <c r="T46" s="2">
        <v>-1E-3</v>
      </c>
      <c r="U46" s="2">
        <v>-1E-3</v>
      </c>
      <c r="V46" s="10">
        <v>2.1499999999999998E-2</v>
      </c>
      <c r="W46" s="10">
        <v>2.1498695165900417E-2</v>
      </c>
      <c r="X46" s="10"/>
      <c r="Z46" s="2">
        <v>4.7999999999999996E-3</v>
      </c>
      <c r="AA46" s="2">
        <v>1.43E-2</v>
      </c>
      <c r="AB46" s="2">
        <v>2.1499999999999998E-2</v>
      </c>
      <c r="AF46" s="2"/>
      <c r="AG46" s="2"/>
      <c r="AH46" s="2"/>
      <c r="AI46" t="s">
        <v>119</v>
      </c>
    </row>
    <row r="47" spans="1:35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R47" s="10">
        <v>7.4999999999999997E-2</v>
      </c>
      <c r="S47" s="10">
        <v>4.7999999999999996E-3</v>
      </c>
      <c r="T47" s="2">
        <v>2.2499999999999999E-2</v>
      </c>
      <c r="U47" s="2">
        <v>2.2499999999999999E-2</v>
      </c>
      <c r="V47" s="10">
        <v>6.13E-2</v>
      </c>
      <c r="W47" s="10">
        <v>6.1334845906598545E-2</v>
      </c>
      <c r="X47" s="10"/>
      <c r="Z47" s="2">
        <v>1.8499999999999999E-2</v>
      </c>
      <c r="AA47" s="2">
        <v>1.9800000000000002E-2</v>
      </c>
      <c r="AB47" s="2">
        <v>4.8599999999999997E-2</v>
      </c>
      <c r="AH47" s="2"/>
    </row>
    <row r="48" spans="1:35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R48" s="10">
        <v>5.91E-2</v>
      </c>
      <c r="S48" s="10">
        <v>1.43E-2</v>
      </c>
      <c r="T48" s="2">
        <v>4.1500000000000002E-2</v>
      </c>
      <c r="U48" s="2">
        <v>4.1500000000000002E-2</v>
      </c>
      <c r="V48" s="10">
        <v>2.0301863022990974E-2</v>
      </c>
      <c r="W48" s="10">
        <v>4.1967354724926631E-2</v>
      </c>
      <c r="X48" s="10">
        <v>9.3115819647437981E-3</v>
      </c>
      <c r="Z48" s="2">
        <v>4.2099999999999999E-2</v>
      </c>
      <c r="AA48" s="2">
        <v>4.0399999999999998E-2</v>
      </c>
      <c r="AB48" s="2">
        <v>3.4099999999999998E-2</v>
      </c>
    </row>
    <row r="49" spans="1:34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R49" s="10">
        <v>-5.6500000000000002E-2</v>
      </c>
      <c r="S49" s="10">
        <v>-6.9999999999999993E-3</v>
      </c>
      <c r="T49" s="2">
        <v>-2.5600000000000001E-2</v>
      </c>
      <c r="U49" s="2">
        <v>-2.5600000000000001E-2</v>
      </c>
      <c r="V49" s="10">
        <v>-1.1668163224583417E-2</v>
      </c>
      <c r="W49" s="10">
        <v>-1.7204689912238003E-2</v>
      </c>
      <c r="X49" s="10">
        <v>-8.5718063798507771E-3</v>
      </c>
      <c r="Z49" s="2">
        <v>-1.52E-2</v>
      </c>
      <c r="AA49" s="2">
        <v>-8.2000000000000007E-3</v>
      </c>
      <c r="AB49" s="2">
        <v>-1.54E-2</v>
      </c>
    </row>
    <row r="50" spans="1:34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R50" s="10">
        <v>3.0999999999999999E-3</v>
      </c>
      <c r="S50" s="10">
        <v>5.1999999999999998E-3</v>
      </c>
      <c r="T50" s="2">
        <v>9.1999999999999998E-3</v>
      </c>
      <c r="U50" s="2">
        <v>9.1999999999999998E-3</v>
      </c>
      <c r="V50" s="10">
        <v>1.4117635182540056E-2</v>
      </c>
      <c r="W50" s="10">
        <v>1.7152076080495959E-2</v>
      </c>
      <c r="X50" s="10">
        <v>1.2435371374324378E-2</v>
      </c>
      <c r="Z50" s="2">
        <v>3.2800000000000003E-2</v>
      </c>
      <c r="AA50" s="2">
        <v>3.32E-2</v>
      </c>
      <c r="AB50" s="2">
        <v>2.5499999999999998E-2</v>
      </c>
    </row>
    <row r="51" spans="1:34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R51" s="10">
        <v>-1.6799999999999999E-2</v>
      </c>
      <c r="S51" s="10">
        <v>8.1000000000000013E-3</v>
      </c>
      <c r="T51" s="2">
        <v>8.4599999999999995E-2</v>
      </c>
      <c r="U51" s="2">
        <v>8.4599999999999995E-2</v>
      </c>
      <c r="V51" s="10">
        <v>2.3592988636689904E-2</v>
      </c>
      <c r="W51" s="10">
        <v>3.1117378812241414E-2</v>
      </c>
      <c r="X51" s="10">
        <v>1.9301885090646786E-2</v>
      </c>
      <c r="Z51" s="2">
        <v>-1.41E-2</v>
      </c>
      <c r="AA51" s="2">
        <v>-1.32E-2</v>
      </c>
      <c r="AB51" s="2">
        <v>1.6199999999999999E-2</v>
      </c>
      <c r="AH51" s="2"/>
    </row>
    <row r="52" spans="1:34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R52" s="10">
        <v>-4.36E-2</v>
      </c>
      <c r="S52" s="10">
        <v>8.8999999999999999E-3</v>
      </c>
      <c r="T52" s="2">
        <v>-4.8500000000000001E-2</v>
      </c>
      <c r="U52" s="2">
        <v>-4.8500000000000001E-2</v>
      </c>
      <c r="V52" s="10">
        <v>-6.3269533825585089E-3</v>
      </c>
      <c r="W52" s="10">
        <v>-1.2782002939859538E-4</v>
      </c>
      <c r="X52" s="10">
        <v>-9.9032533994042327E-3</v>
      </c>
      <c r="Z52" s="2">
        <v>4.24E-2</v>
      </c>
      <c r="AA52" s="2">
        <v>1.52E-2</v>
      </c>
      <c r="AB52" s="2">
        <v>1.4800000000000001E-2</v>
      </c>
    </row>
    <row r="53" spans="1:34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R53" s="10">
        <v>-1.7899999999999999E-2</v>
      </c>
      <c r="S53" s="10">
        <v>5.1000000000000004E-3</v>
      </c>
      <c r="T53" s="2">
        <v>2.41E-2</v>
      </c>
      <c r="U53" s="2">
        <v>2.41E-2</v>
      </c>
      <c r="V53" s="10">
        <v>1.5442983862349102E-2</v>
      </c>
      <c r="W53" s="10">
        <v>8.367188711428053E-3</v>
      </c>
      <c r="X53" s="10">
        <v>2.0365104910492704E-2</v>
      </c>
      <c r="Z53" s="2">
        <v>1.6799999999999999E-2</v>
      </c>
      <c r="AA53" s="2">
        <v>1.5900000000000001E-2</v>
      </c>
      <c r="AB53" s="2">
        <v>7.7000000000000002E-3</v>
      </c>
    </row>
    <row r="54" spans="1:34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R54" s="10">
        <v>1.2200000000000001E-2</v>
      </c>
      <c r="S54" s="10">
        <v>7.6E-3</v>
      </c>
      <c r="T54" s="2">
        <v>-7.7000000000000002E-3</v>
      </c>
      <c r="U54" s="2">
        <v>-7.7000000000000002E-3</v>
      </c>
      <c r="V54" s="2">
        <v>1.6751706738268979E-2</v>
      </c>
      <c r="W54" s="2">
        <v>1.7433693133382056E-2</v>
      </c>
      <c r="X54" s="2">
        <v>1.6279330863365971E-2</v>
      </c>
      <c r="Y54" s="2"/>
      <c r="Z54" s="2">
        <v>2.1499999999999998E-2</v>
      </c>
      <c r="AA54" s="2">
        <v>9.4000000000000004E-3</v>
      </c>
      <c r="AB54" s="2">
        <v>8.0999999999999996E-3</v>
      </c>
    </row>
    <row r="55" spans="1:34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R55" s="10">
        <v>-4.4999999999999997E-3</v>
      </c>
      <c r="S55" s="10">
        <v>-5.3E-3</v>
      </c>
      <c r="T55" s="2">
        <v>1.4800000000000001E-2</v>
      </c>
      <c r="U55" s="2">
        <v>1.4800000000000001E-2</v>
      </c>
      <c r="V55" s="10">
        <v>1.9164882744357126E-2</v>
      </c>
      <c r="W55" s="10">
        <v>1.9182430757974434E-2</v>
      </c>
      <c r="X55" s="10">
        <v>1.9152714358193768E-2</v>
      </c>
      <c r="Z55" s="2">
        <v>-2.8799999999999999E-2</v>
      </c>
      <c r="AA55" s="2">
        <v>-3.1199999999999999E-2</v>
      </c>
      <c r="AB55" s="2">
        <v>-3.15E-2</v>
      </c>
    </row>
    <row r="56" spans="1:34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R56" s="10">
        <v>5.4999999999999997E-3</v>
      </c>
      <c r="S56" s="10">
        <v>1.7299999999999999E-2</v>
      </c>
      <c r="T56" s="2">
        <v>6.4699999999999994E-2</v>
      </c>
      <c r="U56" s="2">
        <v>6.4699999999999994E-2</v>
      </c>
      <c r="V56" s="10">
        <v>2.5010645263201292E-2</v>
      </c>
      <c r="W56" s="10">
        <v>4.2297471762124506E-2</v>
      </c>
      <c r="X56" s="10">
        <v>1.3703921086013926E-2</v>
      </c>
      <c r="Z56" s="40">
        <v>1.24E-2</v>
      </c>
      <c r="AA56" s="40">
        <v>1.18E-2</v>
      </c>
      <c r="AB56" s="40">
        <v>4.1200000000000001E-2</v>
      </c>
    </row>
    <row r="57" spans="1:34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0"/>
      <c r="R57" s="41">
        <v>-2.8400000000000002E-2</v>
      </c>
      <c r="S57" s="41">
        <v>-5.7999999999999996E-3</v>
      </c>
      <c r="T57" s="40">
        <v>-3.04E-2</v>
      </c>
      <c r="U57" s="40">
        <v>-3.04E-2</v>
      </c>
      <c r="V57" s="41">
        <v>-2.628763632384068E-3</v>
      </c>
      <c r="W57" s="41">
        <v>7.9428999916686394E-4</v>
      </c>
      <c r="X57" s="41">
        <v>-5.4014882108597284E-3</v>
      </c>
      <c r="Y57" s="42">
        <v>0</v>
      </c>
      <c r="Z57" s="2">
        <v>-1.9400000000000001E-2</v>
      </c>
      <c r="AA57" s="2">
        <v>-1.9599999999999999E-2</v>
      </c>
      <c r="AB57" s="2">
        <v>1.5800000000000002E-2</v>
      </c>
    </row>
    <row r="58" spans="1:34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2"/>
      <c r="R58" s="10">
        <v>1.6799999999999999E-2</v>
      </c>
      <c r="S58" s="10">
        <v>1.1399999999999999E-2</v>
      </c>
      <c r="T58" s="2">
        <v>2.9600000000000001E-2</v>
      </c>
      <c r="U58" s="2">
        <v>2.92E-2</v>
      </c>
      <c r="V58" s="10">
        <v>2.1309665883882944E-2</v>
      </c>
      <c r="W58" s="10">
        <v>1.5941733180075079E-2</v>
      </c>
      <c r="X58" s="10">
        <v>2.6008007271143052E-2</v>
      </c>
      <c r="Y58" s="10">
        <v>4.6773767023666757E-3</v>
      </c>
      <c r="Z58" s="2">
        <v>3.5200000000000002E-2</v>
      </c>
      <c r="AA58" s="2">
        <v>2.6100000000000002E-2</v>
      </c>
      <c r="AB58" s="2">
        <v>4.2000000000000003E-2</v>
      </c>
    </row>
    <row r="59" spans="1:34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2"/>
      <c r="R59" s="10">
        <v>5.3699999999999998E-2</v>
      </c>
      <c r="S59" s="10">
        <v>4.1999999999999997E-3</v>
      </c>
      <c r="T59" s="2">
        <v>-5.9200000000000003E-2</v>
      </c>
      <c r="U59" s="2">
        <v>-5.67E-2</v>
      </c>
      <c r="V59" s="10">
        <v>-6.5904401844062432E-3</v>
      </c>
      <c r="W59" s="10">
        <v>6.0799593964455667E-4</v>
      </c>
      <c r="X59" s="10">
        <v>-1.0432770418868031E-2</v>
      </c>
      <c r="Y59" s="10">
        <v>-1.6272891429741199E-2</v>
      </c>
      <c r="Z59" s="2">
        <v>3.4099999999999998E-2</v>
      </c>
      <c r="AA59" s="2">
        <v>2.7E-2</v>
      </c>
      <c r="AB59" s="2">
        <v>-2.1999999999999999E-2</v>
      </c>
      <c r="AE59" s="2"/>
      <c r="AF59" s="2"/>
      <c r="AG59" s="2"/>
    </row>
    <row r="60" spans="1:34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2"/>
      <c r="R60" s="10">
        <v>-1.145E-2</v>
      </c>
      <c r="S60" s="10">
        <v>-1.6799999999999999E-2</v>
      </c>
      <c r="T60" s="2">
        <v>-4.8800000000000003E-2</v>
      </c>
      <c r="U60" s="2">
        <v>-4.8800000000000003E-2</v>
      </c>
      <c r="V60" s="10">
        <v>-5.635653613161562E-2</v>
      </c>
      <c r="W60" s="10">
        <v>-6.622600535768064E-2</v>
      </c>
      <c r="X60" s="10">
        <v>-4.9905806640504702E-2</v>
      </c>
      <c r="Y60" s="10">
        <v>-5.1719858372123562E-2</v>
      </c>
      <c r="Z60" s="2">
        <v>2.0500000000000001E-2</v>
      </c>
      <c r="AA60" s="2">
        <v>2.1000000000000001E-2</v>
      </c>
      <c r="AB60" s="2">
        <v>-7.1999999999999995E-2</v>
      </c>
      <c r="AG60" s="2"/>
    </row>
    <row r="61" spans="1:34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2"/>
      <c r="R61" s="10">
        <v>4.9500000000000002E-2</v>
      </c>
      <c r="S61" s="10">
        <v>-5.1000000000000004E-3</v>
      </c>
      <c r="T61" s="2">
        <v>-1.72E-2</v>
      </c>
      <c r="U61" s="2">
        <v>-1.2999999999999999E-3</v>
      </c>
      <c r="V61" s="10">
        <v>-4.7698831581440837E-3</v>
      </c>
      <c r="W61" s="10">
        <v>-4.1940393940937182E-2</v>
      </c>
      <c r="X61" s="10">
        <v>5.4988345792645887E-3</v>
      </c>
      <c r="Y61" s="10">
        <v>-5.4008727163296077E-3</v>
      </c>
      <c r="Z61" s="2">
        <v>1.5800000000000002E-2</v>
      </c>
      <c r="AA61" s="2">
        <v>1.4500000000000001E-2</v>
      </c>
      <c r="AB61" s="2">
        <v>-3.9E-2</v>
      </c>
      <c r="AG61" s="2"/>
    </row>
    <row r="62" spans="1:34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2"/>
      <c r="R62" s="10">
        <v>2.3900000000000001E-2</v>
      </c>
      <c r="S62" s="10">
        <v>1.3300000000000001E-2</v>
      </c>
      <c r="T62" s="2">
        <v>3.0200000000000001E-2</v>
      </c>
      <c r="U62" s="2">
        <v>2.9399999999999999E-2</v>
      </c>
      <c r="V62" s="10">
        <v>3.5154436193413297E-2</v>
      </c>
      <c r="W62" s="10">
        <v>5.5011074033606056E-2</v>
      </c>
      <c r="X62" s="10">
        <v>2.5931223626595168E-2</v>
      </c>
      <c r="Y62" s="10">
        <v>6.5021631426906978E-3</v>
      </c>
      <c r="Z62" s="2">
        <v>3.0200000000000001E-2</v>
      </c>
      <c r="AA62" s="2">
        <v>1.9199999999999998E-2</v>
      </c>
      <c r="AB62" s="2">
        <v>6.0999999999999999E-2</v>
      </c>
      <c r="AG62" s="2"/>
    </row>
    <row r="63" spans="1:34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2"/>
      <c r="R63" s="10">
        <v>-2.4E-2</v>
      </c>
      <c r="S63" s="10">
        <v>1.7000000000000001E-3</v>
      </c>
      <c r="T63" s="2">
        <v>3.5999999999999999E-3</v>
      </c>
      <c r="U63" s="2">
        <v>1.61E-2</v>
      </c>
      <c r="V63" s="10">
        <v>1.3828056486068885E-2</v>
      </c>
      <c r="W63" s="10">
        <v>1.0534671822971742E-2</v>
      </c>
      <c r="X63" s="10">
        <v>1.8064809073637056E-2</v>
      </c>
      <c r="Y63" s="10">
        <v>1.6747875143858781E-3</v>
      </c>
      <c r="Z63" s="2">
        <v>-1.5E-3</v>
      </c>
      <c r="AA63" s="2">
        <v>-1.8E-3</v>
      </c>
      <c r="AB63" s="2">
        <v>0.01</v>
      </c>
      <c r="AE63" s="2"/>
      <c r="AF63" s="2"/>
      <c r="AG63" s="2"/>
    </row>
    <row r="64" spans="1:34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2"/>
      <c r="R64" s="10">
        <v>2.18E-2</v>
      </c>
      <c r="S64" s="10">
        <v>8.8000000000000005E-3</v>
      </c>
      <c r="T64" s="2">
        <v>3.9600000000000003E-2</v>
      </c>
      <c r="U64" s="2">
        <v>2.47E-2</v>
      </c>
      <c r="V64" s="10">
        <v>2.1379981087303213E-2</v>
      </c>
      <c r="W64" s="10">
        <v>3.7792710693531184E-2</v>
      </c>
      <c r="X64" s="10">
        <v>1.0641867445539077E-2</v>
      </c>
      <c r="Y64" s="10">
        <v>1.7474948219577291E-2</v>
      </c>
      <c r="Z64" s="2">
        <v>-1.1000000000000001E-3</v>
      </c>
      <c r="AA64" s="2">
        <v>8.0999999999999996E-3</v>
      </c>
      <c r="AB64" s="2">
        <v>4.7E-2</v>
      </c>
    </row>
    <row r="65" spans="1:28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2"/>
      <c r="R65" s="10">
        <v>-1.32E-2</v>
      </c>
      <c r="S65" s="10">
        <v>3.0999999999999999E-3</v>
      </c>
      <c r="T65" s="2">
        <v>-9.1000000000000004E-3</v>
      </c>
      <c r="U65" s="2">
        <v>8.0000000000000004E-4</v>
      </c>
      <c r="V65" s="10">
        <v>1.4812695422699473E-2</v>
      </c>
      <c r="W65" s="10">
        <v>-4.1637084763490595E-4</v>
      </c>
      <c r="X65" s="10">
        <v>2.5413239368718088E-2</v>
      </c>
      <c r="Y65" s="10">
        <v>1.7814211957592807E-2</v>
      </c>
      <c r="Z65" s="2">
        <v>4.7E-2</v>
      </c>
      <c r="AA65" s="2">
        <v>4.58E-2</v>
      </c>
      <c r="AB65" s="2">
        <v>-3.0000000000000001E-3</v>
      </c>
    </row>
    <row r="66" spans="1:28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2"/>
      <c r="R66" s="10">
        <v>-8.6999999999999994E-3</v>
      </c>
      <c r="S66" s="10">
        <v>8.1000000000000013E-3</v>
      </c>
      <c r="T66" s="2">
        <v>2.8500000000000001E-2</v>
      </c>
      <c r="U66" s="2">
        <v>2.8899999999999999E-2</v>
      </c>
      <c r="V66" s="10">
        <v>1.3266691859663116E-2</v>
      </c>
      <c r="W66" s="10">
        <v>2.3385223358521889E-2</v>
      </c>
      <c r="X66" s="10">
        <v>3.0094742644525718E-2</v>
      </c>
      <c r="Y66" s="10">
        <v>-0.10853010648596328</v>
      </c>
      <c r="Z66" s="2">
        <v>5.4999999999999997E-3</v>
      </c>
      <c r="AA66" s="2">
        <v>4.1999999999999997E-3</v>
      </c>
      <c r="AB66" s="2">
        <v>2.9000000000000001E-2</v>
      </c>
    </row>
    <row r="67" spans="1:28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2"/>
      <c r="R67" s="10">
        <v>6.0000000000000001E-3</v>
      </c>
      <c r="S67" s="10">
        <v>1.2E-2</v>
      </c>
      <c r="T67" s="2">
        <v>1.8599999999999998E-2</v>
      </c>
      <c r="U67" s="2">
        <v>1.09E-2</v>
      </c>
      <c r="V67" s="10">
        <v>2.7686429415639369E-2</v>
      </c>
      <c r="W67" s="10">
        <v>3.2165482116952138E-2</v>
      </c>
      <c r="X67" s="10">
        <v>2.3208029468071434E-2</v>
      </c>
      <c r="Y67" s="10">
        <v>3.0800141163446648E-2</v>
      </c>
      <c r="Z67" s="2">
        <v>4.7999999999999996E-3</v>
      </c>
      <c r="AA67" s="2">
        <v>8.8000000000000005E-3</v>
      </c>
      <c r="AB67" s="2">
        <v>4.3999999999999997E-2</v>
      </c>
    </row>
    <row r="68" spans="1:28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2"/>
      <c r="R68" s="10">
        <v>-4.6699999999999998E-2</v>
      </c>
      <c r="S68" s="10">
        <v>-1E-3</v>
      </c>
      <c r="T68" s="2">
        <v>-8.3999999999999995E-3</v>
      </c>
      <c r="U68" s="2">
        <v>-6.1000000000000004E-3</v>
      </c>
      <c r="V68" s="10">
        <v>-4.7777319835635712E-3</v>
      </c>
      <c r="W68" s="10">
        <v>-6.1173520460267028E-4</v>
      </c>
      <c r="X68" s="10">
        <v>-2.3446658851113966E-3</v>
      </c>
      <c r="Y68" s="10">
        <v>-1.7736690763483942E-2</v>
      </c>
      <c r="Z68" s="2">
        <v>4.3799999999999999E-2</v>
      </c>
      <c r="AA68" s="40">
        <v>4.1200000000000001E-2</v>
      </c>
      <c r="AB68" s="40">
        <v>-5.0000000000000001E-3</v>
      </c>
    </row>
    <row r="69" spans="1:28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2">
        <v>-1.2800000000000001E-2</v>
      </c>
      <c r="R69" s="10">
        <v>-1.5599999999999999E-2</v>
      </c>
      <c r="S69" s="10">
        <v>0</v>
      </c>
      <c r="T69" s="2">
        <v>-2.1000000000000001E-2</v>
      </c>
      <c r="U69" s="2">
        <v>-1.72E-2</v>
      </c>
      <c r="V69" s="10">
        <v>9.1836553329897094E-3</v>
      </c>
      <c r="W69" s="10">
        <v>9.5205815547585448E-3</v>
      </c>
      <c r="X69" s="10">
        <v>9.6278887583234329E-3</v>
      </c>
      <c r="Y69" s="10">
        <v>7.5419733158235136E-3</v>
      </c>
      <c r="Z69" s="2">
        <v>4.4200000000000003E-2</v>
      </c>
      <c r="AA69" s="2">
        <v>4.0099999999999997E-2</v>
      </c>
      <c r="AB69" s="2">
        <v>4.0000000000000001E-3</v>
      </c>
    </row>
    <row r="70" spans="1:28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1.4E-3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1.52E-2</v>
      </c>
      <c r="R70" s="2">
        <v>-1.4800000000000001E-2</v>
      </c>
      <c r="S70" s="10">
        <v>0.01</v>
      </c>
      <c r="T70" s="2">
        <v>8.2000000000000007E-3</v>
      </c>
      <c r="U70" s="2">
        <v>8.6999999999999994E-3</v>
      </c>
      <c r="V70" s="10">
        <v>1.3004451776915201E-2</v>
      </c>
      <c r="W70" s="10">
        <v>2.0981263686428608E-2</v>
      </c>
      <c r="X70" s="10">
        <v>5.1915696397584199E-3</v>
      </c>
      <c r="Y70" s="10">
        <v>1.8011776931070367E-2</v>
      </c>
      <c r="Z70" s="2">
        <v>3.9600000000000003E-2</v>
      </c>
      <c r="AA70" s="10">
        <v>3.2000000000000001E-2</v>
      </c>
      <c r="AB70" s="10">
        <v>1.24E-2</v>
      </c>
    </row>
    <row r="71" spans="1:28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1.7000000000000001E-2</v>
      </c>
      <c r="H71" s="2">
        <v>4.7199999999999999E-2</v>
      </c>
      <c r="I71" s="2">
        <v>3.9100000000000003E-2</v>
      </c>
      <c r="J71" s="2">
        <v>3.8800000000000001E-2</v>
      </c>
      <c r="K71" s="2">
        <v>2.41E-2</v>
      </c>
      <c r="L71" s="2">
        <v>1.66E-2</v>
      </c>
      <c r="M71" s="2">
        <v>7.4000000000000003E-3</v>
      </c>
      <c r="N71" s="2">
        <v>8.3000000000000001E-3</v>
      </c>
      <c r="O71" s="2">
        <v>-2.5999999999999999E-3</v>
      </c>
      <c r="P71" s="2">
        <v>2.9000000000000001E-2</v>
      </c>
      <c r="Q71" s="2">
        <v>4.4999999999999998E-2</v>
      </c>
      <c r="R71" s="2">
        <v>-1.2800000000000001E-2</v>
      </c>
      <c r="S71" s="2">
        <v>1.0999999999999999E-2</v>
      </c>
      <c r="V71" s="10">
        <v>9.1841849220155088E-3</v>
      </c>
      <c r="W71" s="10">
        <v>1.2038554032173021E-2</v>
      </c>
      <c r="X71" s="10">
        <v>6.088825214899618E-3</v>
      </c>
      <c r="Y71" s="10">
        <v>1.1374020887728431E-2</v>
      </c>
    </row>
    <row r="72" spans="1:28" x14ac:dyDescent="0.25">
      <c r="O72" s="2" t="s">
        <v>56</v>
      </c>
      <c r="P72" s="2"/>
      <c r="Q72" s="2"/>
    </row>
  </sheetData>
  <conditionalFormatting sqref="V1:AB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I28"/>
  <sheetViews>
    <sheetView tabSelected="1" workbookViewId="0">
      <selection activeCell="I32" sqref="I32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1" bestFit="1" customWidth="1"/>
    <col min="7" max="7" width="14" bestFit="1" customWidth="1"/>
    <col min="8" max="8" width="14.7109375" bestFit="1" customWidth="1"/>
  </cols>
  <sheetData>
    <row r="1" spans="1:9" x14ac:dyDescent="0.25">
      <c r="A1" t="s">
        <v>0</v>
      </c>
      <c r="B1" t="s">
        <v>7</v>
      </c>
      <c r="C1" t="s">
        <v>14</v>
      </c>
      <c r="D1" t="s">
        <v>8</v>
      </c>
      <c r="E1" t="s">
        <v>136</v>
      </c>
      <c r="F1" t="s">
        <v>50</v>
      </c>
      <c r="G1" t="s">
        <v>137</v>
      </c>
      <c r="H1" t="s">
        <v>138</v>
      </c>
      <c r="I1" t="s">
        <v>139</v>
      </c>
    </row>
    <row r="2" spans="1:9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9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9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9" x14ac:dyDescent="0.25">
      <c r="A5" s="5">
        <v>46022</v>
      </c>
      <c r="B5" t="s">
        <v>13</v>
      </c>
      <c r="C5" t="s">
        <v>5</v>
      </c>
      <c r="D5" s="7">
        <v>0.153672053</v>
      </c>
      <c r="E5">
        <v>53234248</v>
      </c>
    </row>
    <row r="6" spans="1:9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9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9" x14ac:dyDescent="0.25">
      <c r="A8" s="5"/>
    </row>
    <row r="9" spans="1:9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9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9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9" x14ac:dyDescent="0.25">
      <c r="A12" s="5">
        <v>45991</v>
      </c>
      <c r="B12" t="s">
        <v>13</v>
      </c>
      <c r="C12" t="s">
        <v>5</v>
      </c>
      <c r="D12">
        <v>0.15154704399999999</v>
      </c>
      <c r="E12">
        <v>53064064.140000001</v>
      </c>
    </row>
    <row r="13" spans="1:9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9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9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</row>
    <row r="17" spans="1:9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9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9" x14ac:dyDescent="0.25">
      <c r="A19" s="5">
        <v>46053</v>
      </c>
      <c r="B19" t="s">
        <v>13</v>
      </c>
      <c r="C19" t="s">
        <v>5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9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9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9" x14ac:dyDescent="0.25">
      <c r="A22" s="5"/>
      <c r="D22" s="15"/>
    </row>
    <row r="23" spans="1:9" x14ac:dyDescent="0.25">
      <c r="A23" s="5">
        <v>46081</v>
      </c>
      <c r="B23" t="s">
        <v>13</v>
      </c>
      <c r="C23" t="s">
        <v>32</v>
      </c>
      <c r="D23" s="14">
        <v>0.25087999999999999</v>
      </c>
      <c r="E23">
        <v>89243299.219999999</v>
      </c>
      <c r="F23">
        <v>125166.48</v>
      </c>
      <c r="G23" s="7">
        <v>1.4E-2</v>
      </c>
      <c r="H23" s="14">
        <v>1.4E-3</v>
      </c>
      <c r="I23" s="14">
        <v>3.5E-4</v>
      </c>
    </row>
    <row r="24" spans="1:9" x14ac:dyDescent="0.25">
      <c r="A24" s="5">
        <v>46081</v>
      </c>
      <c r="B24" t="s">
        <v>13</v>
      </c>
      <c r="C24" t="s">
        <v>9</v>
      </c>
      <c r="D24" s="14">
        <v>0.24568000000000001</v>
      </c>
      <c r="E24">
        <v>87393349.010000005</v>
      </c>
      <c r="F24">
        <v>1044797.13</v>
      </c>
      <c r="G24" s="7">
        <v>0.1171</v>
      </c>
      <c r="H24" s="14">
        <v>1.2E-2</v>
      </c>
      <c r="I24" s="14">
        <v>2.9499999999999999E-3</v>
      </c>
    </row>
    <row r="25" spans="1:9" x14ac:dyDescent="0.25">
      <c r="A25" s="5">
        <v>46081</v>
      </c>
      <c r="B25" t="s">
        <v>13</v>
      </c>
      <c r="C25" t="s">
        <v>3</v>
      </c>
      <c r="D25" s="14">
        <v>0.28308</v>
      </c>
      <c r="E25">
        <v>100700450.8</v>
      </c>
      <c r="F25">
        <v>4902763</v>
      </c>
      <c r="G25" s="7">
        <v>0.54949999999999999</v>
      </c>
      <c r="H25" s="14">
        <v>4.7100000000000003E-2</v>
      </c>
      <c r="I25" s="14">
        <v>1.3849999999999999E-2</v>
      </c>
    </row>
    <row r="26" spans="1:9" x14ac:dyDescent="0.25">
      <c r="A26" s="5">
        <v>46081</v>
      </c>
      <c r="B26" t="s">
        <v>13</v>
      </c>
      <c r="C26" t="s">
        <v>5</v>
      </c>
      <c r="D26" s="14">
        <v>0.15359999999999999</v>
      </c>
      <c r="E26">
        <v>54639526</v>
      </c>
      <c r="F26">
        <v>857637</v>
      </c>
      <c r="G26" s="7">
        <v>9.6100000000000005E-2</v>
      </c>
      <c r="H26" s="14">
        <v>1.5699999999999999E-2</v>
      </c>
      <c r="I26" s="14">
        <v>2.4199999999999998E-3</v>
      </c>
    </row>
    <row r="27" spans="1:9" x14ac:dyDescent="0.25">
      <c r="A27" s="5">
        <v>46081</v>
      </c>
      <c r="B27" t="s">
        <v>13</v>
      </c>
      <c r="C27" t="s">
        <v>10</v>
      </c>
      <c r="D27" s="14">
        <v>5.2240000000000002E-2</v>
      </c>
      <c r="E27">
        <v>18584573.27</v>
      </c>
      <c r="F27">
        <v>2147775</v>
      </c>
      <c r="G27" s="7">
        <v>0.2407</v>
      </c>
      <c r="H27" s="14">
        <v>0.14069999999999999</v>
      </c>
      <c r="I27" s="14">
        <v>6.0699999999999999E-3</v>
      </c>
    </row>
    <row r="28" spans="1:9" x14ac:dyDescent="0.25">
      <c r="A28" s="5">
        <v>46081</v>
      </c>
      <c r="B28" t="s">
        <v>13</v>
      </c>
      <c r="C28" t="s">
        <v>12</v>
      </c>
      <c r="D28" s="14">
        <v>1.452E-2</v>
      </c>
      <c r="E28">
        <v>5164580</v>
      </c>
      <c r="F28">
        <v>-156687</v>
      </c>
      <c r="G28" s="7">
        <v>-1.7600000000000001E-2</v>
      </c>
      <c r="H28" s="14">
        <v>-3.0300000000000001E-2</v>
      </c>
      <c r="I28" s="14">
        <v>-4.4000000000000002E-4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73"/>
  <sheetViews>
    <sheetView topLeftCell="A49" workbookViewId="0">
      <selection activeCell="G70" sqref="G70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46081</v>
      </c>
      <c r="B68" t="s">
        <v>13</v>
      </c>
      <c r="C68" t="s">
        <v>32</v>
      </c>
      <c r="D68" s="14">
        <v>3.5E-4</v>
      </c>
    </row>
    <row r="69" spans="1:4" x14ac:dyDescent="0.25">
      <c r="A69" s="5">
        <v>46081</v>
      </c>
      <c r="B69" t="s">
        <v>13</v>
      </c>
      <c r="C69" t="s">
        <v>9</v>
      </c>
      <c r="D69" s="14">
        <v>2.9299999999999999E-3</v>
      </c>
    </row>
    <row r="70" spans="1:4" x14ac:dyDescent="0.25">
      <c r="A70" s="5">
        <v>46081</v>
      </c>
      <c r="B70" t="s">
        <v>13</v>
      </c>
      <c r="C70" t="s">
        <v>3</v>
      </c>
      <c r="D70" s="14">
        <v>1.43E-2</v>
      </c>
    </row>
    <row r="71" spans="1:4" x14ac:dyDescent="0.25">
      <c r="A71" s="5">
        <v>46081</v>
      </c>
      <c r="B71" t="s">
        <v>13</v>
      </c>
      <c r="C71" t="s">
        <v>5</v>
      </c>
      <c r="D71" s="14">
        <v>2.7799999999999999E-3</v>
      </c>
    </row>
    <row r="72" spans="1:4" x14ac:dyDescent="0.25">
      <c r="A72" s="5">
        <v>46081</v>
      </c>
      <c r="B72" t="s">
        <v>13</v>
      </c>
      <c r="C72" t="s">
        <v>10</v>
      </c>
      <c r="D72" s="14">
        <v>5.4799999999999996E-3</v>
      </c>
    </row>
    <row r="73" spans="1:4" x14ac:dyDescent="0.25">
      <c r="A73" s="5">
        <v>46081</v>
      </c>
      <c r="B73" t="s">
        <v>13</v>
      </c>
      <c r="C73" t="s">
        <v>12</v>
      </c>
      <c r="D73" s="14">
        <v>-4.4000000000000002E-4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30"/>
  <sheetViews>
    <sheetView topLeftCell="A13" workbookViewId="0">
      <selection activeCell="G40" sqref="G40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16</v>
      </c>
      <c r="D22">
        <v>0.14462387500000001</v>
      </c>
    </row>
    <row r="23" spans="1:4" x14ac:dyDescent="0.25">
      <c r="A23" s="5">
        <v>46081</v>
      </c>
      <c r="B23" t="s">
        <v>10</v>
      </c>
      <c r="C23" s="8" t="s">
        <v>17</v>
      </c>
      <c r="D23">
        <v>0.24923849100000001</v>
      </c>
    </row>
    <row r="24" spans="1:4" x14ac:dyDescent="0.25">
      <c r="A24" s="5">
        <v>46081</v>
      </c>
      <c r="B24" t="s">
        <v>10</v>
      </c>
      <c r="C24" s="8" t="s">
        <v>18</v>
      </c>
      <c r="D24">
        <v>4.5757419000000001E-2</v>
      </c>
    </row>
    <row r="25" spans="1:4" x14ac:dyDescent="0.25">
      <c r="A25" s="5">
        <v>46081</v>
      </c>
      <c r="B25" t="s">
        <v>10</v>
      </c>
      <c r="C25" s="8" t="s">
        <v>19</v>
      </c>
      <c r="D25">
        <v>5.9360786999999998E-2</v>
      </c>
    </row>
    <row r="26" spans="1:4" x14ac:dyDescent="0.25">
      <c r="A26" s="5">
        <v>46081</v>
      </c>
      <c r="B26" t="s">
        <v>10</v>
      </c>
      <c r="C26" s="8" t="s">
        <v>20</v>
      </c>
      <c r="D26">
        <v>0.180097598</v>
      </c>
    </row>
    <row r="27" spans="1:4" x14ac:dyDescent="0.25">
      <c r="A27" s="5">
        <v>46081</v>
      </c>
      <c r="B27" t="s">
        <v>10</v>
      </c>
      <c r="C27" s="8" t="s">
        <v>21</v>
      </c>
      <c r="D27">
        <v>0.14915951899999999</v>
      </c>
    </row>
    <row r="28" spans="1:4" x14ac:dyDescent="0.25">
      <c r="A28" s="5">
        <v>46081</v>
      </c>
      <c r="B28" t="s">
        <v>10</v>
      </c>
      <c r="C28" s="8" t="s">
        <v>22</v>
      </c>
      <c r="D28">
        <v>4.1459079000000003E-2</v>
      </c>
    </row>
    <row r="29" spans="1:4" x14ac:dyDescent="0.25">
      <c r="A29" s="5">
        <v>46081</v>
      </c>
      <c r="B29" t="s">
        <v>10</v>
      </c>
      <c r="C29" s="8" t="s">
        <v>23</v>
      </c>
      <c r="D29">
        <v>5.3561483E-2</v>
      </c>
    </row>
    <row r="30" spans="1:4" x14ac:dyDescent="0.25">
      <c r="A30" s="5">
        <v>46081</v>
      </c>
      <c r="B30" t="s">
        <v>10</v>
      </c>
      <c r="C30" s="8" t="s">
        <v>143</v>
      </c>
      <c r="D30">
        <v>7.6741748999999998E-2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55"/>
  <sheetViews>
    <sheetView topLeftCell="A29" workbookViewId="0">
      <selection activeCell="J52" sqref="J52:J53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16"/>
  <sheetViews>
    <sheetView workbookViewId="0">
      <selection activeCell="C24" sqref="C2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5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5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5">
        <v>46081</v>
      </c>
      <c r="B15" t="s">
        <v>9</v>
      </c>
      <c r="C15" t="s">
        <v>142</v>
      </c>
      <c r="D15">
        <v>4.9739579999999997E-3</v>
      </c>
    </row>
    <row r="16" spans="1:4" x14ac:dyDescent="0.25">
      <c r="A16" s="45">
        <v>46081</v>
      </c>
      <c r="B16" t="s">
        <v>9</v>
      </c>
      <c r="C16" t="s">
        <v>31</v>
      </c>
      <c r="D16">
        <v>0.58456854999999996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34"/>
  <sheetViews>
    <sheetView topLeftCell="A9" workbookViewId="0">
      <selection activeCell="G37" sqref="G37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33"/>
  <sheetViews>
    <sheetView topLeftCell="A9" workbookViewId="0">
      <selection activeCell="K32" sqref="K32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27"/>
  <sheetViews>
    <sheetView topLeftCell="R1" zoomScale="90" zoomScaleNormal="90" workbookViewId="0">
      <selection activeCell="Y31" sqref="Y31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85546875" style="26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57" width="11.28515625" style="20" bestFit="1" customWidth="1"/>
    <col min="58" max="16384" width="9.140625" style="20"/>
  </cols>
  <sheetData>
    <row r="1" spans="1:56" x14ac:dyDescent="0.25">
      <c r="A1" s="16" t="s">
        <v>103</v>
      </c>
      <c r="B1" s="16" t="s">
        <v>57</v>
      </c>
      <c r="C1" s="16" t="s">
        <v>58</v>
      </c>
      <c r="D1" s="16" t="s">
        <v>59</v>
      </c>
      <c r="E1" s="16" t="s">
        <v>60</v>
      </c>
      <c r="F1" s="16" t="s">
        <v>61</v>
      </c>
      <c r="G1" s="16" t="s">
        <v>62</v>
      </c>
      <c r="H1" s="16" t="s">
        <v>63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73</v>
      </c>
      <c r="S1" s="16" t="s">
        <v>74</v>
      </c>
      <c r="T1" s="16" t="s">
        <v>75</v>
      </c>
      <c r="U1" s="16" t="s">
        <v>76</v>
      </c>
      <c r="V1" s="16" t="s">
        <v>77</v>
      </c>
      <c r="W1" s="16" t="s">
        <v>78</v>
      </c>
      <c r="X1" s="16" t="s">
        <v>79</v>
      </c>
      <c r="Y1" s="16" t="s">
        <v>80</v>
      </c>
      <c r="Z1" s="16" t="s">
        <v>81</v>
      </c>
      <c r="AA1" s="16" t="s">
        <v>82</v>
      </c>
      <c r="AB1" s="16" t="s">
        <v>83</v>
      </c>
      <c r="AC1" s="16" t="s">
        <v>84</v>
      </c>
      <c r="AD1" s="16" t="s">
        <v>85</v>
      </c>
      <c r="AE1" s="16" t="s">
        <v>86</v>
      </c>
      <c r="AF1" s="16" t="s">
        <v>87</v>
      </c>
      <c r="AG1" s="16" t="s">
        <v>88</v>
      </c>
      <c r="AH1" s="16" t="s">
        <v>89</v>
      </c>
      <c r="AI1" s="16" t="s">
        <v>90</v>
      </c>
      <c r="AJ1" s="16" t="s">
        <v>91</v>
      </c>
      <c r="AK1" s="16" t="s">
        <v>92</v>
      </c>
      <c r="AL1" s="16" t="s">
        <v>93</v>
      </c>
      <c r="AM1" s="16" t="s">
        <v>94</v>
      </c>
      <c r="AN1" s="16" t="s">
        <v>95</v>
      </c>
      <c r="AO1" s="16" t="s">
        <v>96</v>
      </c>
      <c r="AP1" s="16" t="s">
        <v>97</v>
      </c>
      <c r="AQ1" s="16" t="s">
        <v>98</v>
      </c>
      <c r="AR1" s="16" t="s">
        <v>99</v>
      </c>
      <c r="AS1" s="16" t="s">
        <v>100</v>
      </c>
      <c r="AT1" s="16" t="s">
        <v>101</v>
      </c>
      <c r="AU1" s="16" t="s">
        <v>102</v>
      </c>
      <c r="AV1" s="26" t="s">
        <v>104</v>
      </c>
      <c r="AW1" s="26" t="s">
        <v>108</v>
      </c>
      <c r="AX1" s="26" t="s">
        <v>105</v>
      </c>
      <c r="AY1" s="20" t="s">
        <v>106</v>
      </c>
      <c r="AZ1" s="20" t="s">
        <v>107</v>
      </c>
      <c r="BA1" s="20" t="s">
        <v>109</v>
      </c>
      <c r="BB1" s="20" t="s">
        <v>110</v>
      </c>
      <c r="BC1" s="20" t="s">
        <v>111</v>
      </c>
      <c r="BD1" s="20" t="s">
        <v>112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81</v>
      </c>
      <c r="AA16" s="16" t="s">
        <v>82</v>
      </c>
      <c r="AB16" s="16" t="s">
        <v>83</v>
      </c>
      <c r="AC16" s="16" t="s">
        <v>84</v>
      </c>
      <c r="AD16" s="16" t="s">
        <v>85</v>
      </c>
      <c r="AE16" s="16" t="s">
        <v>86</v>
      </c>
      <c r="AF16" s="16" t="s">
        <v>87</v>
      </c>
      <c r="AG16" s="16" t="s">
        <v>88</v>
      </c>
      <c r="AH16" s="16" t="s">
        <v>89</v>
      </c>
      <c r="AI16" s="16" t="s">
        <v>90</v>
      </c>
      <c r="AJ16" s="16" t="s">
        <v>91</v>
      </c>
      <c r="AK16" s="16" t="s">
        <v>92</v>
      </c>
      <c r="AL16" s="16" t="s">
        <v>93</v>
      </c>
      <c r="AM16" s="16" t="s">
        <v>94</v>
      </c>
      <c r="AN16" s="16" t="s">
        <v>95</v>
      </c>
      <c r="AO16" s="16" t="s">
        <v>96</v>
      </c>
      <c r="AP16" s="16" t="s">
        <v>97</v>
      </c>
      <c r="AQ16" s="16" t="s">
        <v>98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7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7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7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7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7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7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7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7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7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7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  <c r="BE26" s="25">
        <f>BD26+BA26+AX26</f>
        <v>2262477.56</v>
      </c>
    </row>
    <row r="27" spans="1:57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2026-03-09T10:51:06Z</dcterms:modified>
</cp:coreProperties>
</file>