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ily reports\factsheets\"/>
    </mc:Choice>
  </mc:AlternateContent>
  <xr:revisionPtr revIDLastSave="0" documentId="13_ncr:1_{20EB3CDB-A364-4AC8-AFFC-9C10C48092B0}" xr6:coauthVersionLast="47" xr6:coauthVersionMax="47" xr10:uidLastSave="{00000000-0000-0000-0000-000000000000}"/>
  <bookViews>
    <workbookView xWindow="-29565" yWindow="16230" windowWidth="29040" windowHeight="16155" tabRatio="775" activeTab="1" xr2:uid="{CB8D1963-12D9-434A-9948-227E7F96E66F}"/>
  </bookViews>
  <sheets>
    <sheet name="Monthly_returns" sheetId="1" r:id="rId1"/>
    <sheet name="Capital_Allocations" sheetId="2" r:id="rId2"/>
    <sheet name="pnl_Allocations" sheetId="3" r:id="rId3"/>
    <sheet name="Com_compo" sheetId="4" r:id="rId4"/>
    <sheet name="Eq_compo" sheetId="5" r:id="rId5"/>
    <sheet name="Eq_w_cdne" sheetId="9" r:id="rId6"/>
    <sheet name="FI_compo" sheetId="6" r:id="rId7"/>
    <sheet name="LS_compo" sheetId="7" r:id="rId8"/>
    <sheet name="Crypto_compo" sheetId="8" r:id="rId9"/>
    <sheet name="Accounts 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26" i="10" l="1"/>
  <c r="S12" i="10" l="1"/>
  <c r="P6" i="10"/>
  <c r="Y12" i="10"/>
  <c r="V12" i="10"/>
  <c r="AX12" i="10"/>
  <c r="AV3" i="10"/>
  <c r="AV4" i="10"/>
  <c r="AV5" i="10"/>
  <c r="AV6" i="10"/>
  <c r="AV7" i="10"/>
  <c r="AV8" i="10"/>
  <c r="AV9" i="10"/>
  <c r="AV10" i="10"/>
  <c r="AV11" i="10"/>
  <c r="AV12" i="10"/>
  <c r="AV13" i="10"/>
  <c r="AV14" i="10"/>
  <c r="AV15" i="10"/>
  <c r="AV16" i="10"/>
  <c r="AV17" i="10"/>
  <c r="AV18" i="10"/>
  <c r="AV19" i="10"/>
  <c r="AV20" i="10"/>
  <c r="AV21" i="10"/>
  <c r="AV22" i="10"/>
  <c r="AV23" i="10"/>
  <c r="AV24" i="10"/>
  <c r="AV25" i="10"/>
  <c r="AV26" i="10"/>
  <c r="AW2" i="10"/>
  <c r="AX2" i="10"/>
  <c r="AW3" i="10"/>
  <c r="AX3" i="10"/>
  <c r="AW4" i="10"/>
  <c r="AX4" i="10"/>
  <c r="AW5" i="10"/>
  <c r="AX5" i="10"/>
  <c r="AW6" i="10"/>
  <c r="AX6" i="10"/>
  <c r="AW7" i="10"/>
  <c r="AX7" i="10"/>
  <c r="AW8" i="10"/>
  <c r="AX8" i="10"/>
  <c r="AW9" i="10"/>
  <c r="AX9" i="10"/>
  <c r="AW10" i="10"/>
  <c r="AX10" i="10"/>
  <c r="AW11" i="10"/>
  <c r="AX11" i="10"/>
  <c r="AW12" i="10"/>
  <c r="AW13" i="10"/>
  <c r="AX13" i="10"/>
  <c r="AW14" i="10"/>
  <c r="AX14" i="10"/>
  <c r="AW15" i="10"/>
  <c r="AX15" i="10"/>
  <c r="AW16" i="10"/>
  <c r="AX16" i="10"/>
  <c r="AW17" i="10"/>
  <c r="AX17" i="10"/>
  <c r="AW18" i="10"/>
  <c r="AX18" i="10"/>
  <c r="AW19" i="10"/>
  <c r="AX19" i="10"/>
  <c r="AW20" i="10"/>
  <c r="AX20" i="10"/>
  <c r="AW21" i="10"/>
  <c r="AX21" i="10"/>
  <c r="AW22" i="10"/>
  <c r="AX22" i="10"/>
  <c r="AW23" i="10"/>
  <c r="AX23" i="10"/>
  <c r="AW24" i="10"/>
  <c r="AX24" i="10"/>
  <c r="AW25" i="10"/>
  <c r="AX25" i="10"/>
  <c r="AW26" i="10"/>
  <c r="AX26" i="10"/>
  <c r="AV2" i="10"/>
  <c r="BB18" i="10"/>
  <c r="BC18" i="10"/>
  <c r="BD18" i="10"/>
  <c r="BB19" i="10"/>
  <c r="BC19" i="10"/>
  <c r="BD19" i="10"/>
  <c r="BB20" i="10"/>
  <c r="BC20" i="10"/>
  <c r="BD20" i="10"/>
  <c r="BB21" i="10"/>
  <c r="BC21" i="10"/>
  <c r="BD21" i="10"/>
  <c r="BB22" i="10"/>
  <c r="BC22" i="10"/>
  <c r="BD22" i="10"/>
  <c r="BB23" i="10"/>
  <c r="BC23" i="10"/>
  <c r="BD23" i="10"/>
  <c r="BB24" i="10"/>
  <c r="BC24" i="10"/>
  <c r="BD24" i="10"/>
  <c r="BB25" i="10"/>
  <c r="BC25" i="10"/>
  <c r="BD25" i="10"/>
  <c r="BB26" i="10"/>
  <c r="BC26" i="10"/>
  <c r="BD26" i="10"/>
  <c r="BC17" i="10"/>
  <c r="BD17" i="10"/>
  <c r="BB17" i="10"/>
  <c r="BA17" i="10"/>
  <c r="BA26" i="10"/>
  <c r="AZ26" i="10"/>
  <c r="AY26" i="10"/>
  <c r="AY3" i="10"/>
  <c r="AZ3" i="10"/>
  <c r="BA3" i="10"/>
  <c r="BB3" i="10"/>
  <c r="BC3" i="10"/>
  <c r="BD3" i="10"/>
  <c r="AY4" i="10"/>
  <c r="AZ4" i="10"/>
  <c r="BA4" i="10"/>
  <c r="BB4" i="10"/>
  <c r="BC4" i="10"/>
  <c r="BD4" i="10"/>
  <c r="AY5" i="10"/>
  <c r="AZ5" i="10"/>
  <c r="BA5" i="10"/>
  <c r="BB5" i="10"/>
  <c r="BC5" i="10"/>
  <c r="BD5" i="10"/>
  <c r="AY6" i="10"/>
  <c r="AZ6" i="10"/>
  <c r="BA6" i="10"/>
  <c r="BB6" i="10"/>
  <c r="BC6" i="10"/>
  <c r="BD6" i="10"/>
  <c r="AY7" i="10"/>
  <c r="AZ7" i="10"/>
  <c r="BA7" i="10"/>
  <c r="BB7" i="10"/>
  <c r="BC7" i="10"/>
  <c r="BD7" i="10"/>
  <c r="AY8" i="10"/>
  <c r="AZ8" i="10"/>
  <c r="BA8" i="10"/>
  <c r="BB8" i="10"/>
  <c r="BC8" i="10"/>
  <c r="BD8" i="10"/>
  <c r="AY9" i="10"/>
  <c r="AZ9" i="10"/>
  <c r="BA9" i="10"/>
  <c r="BB9" i="10"/>
  <c r="BC9" i="10"/>
  <c r="BD9" i="10"/>
  <c r="AY10" i="10"/>
  <c r="AZ10" i="10"/>
  <c r="BA10" i="10"/>
  <c r="BB10" i="10"/>
  <c r="BC10" i="10"/>
  <c r="BD10" i="10"/>
  <c r="AY11" i="10"/>
  <c r="AZ11" i="10"/>
  <c r="BA11" i="10"/>
  <c r="BB11" i="10"/>
  <c r="BC11" i="10"/>
  <c r="BD11" i="10"/>
  <c r="AY12" i="10"/>
  <c r="AZ12" i="10"/>
  <c r="BA12" i="10"/>
  <c r="BB12" i="10"/>
  <c r="BC12" i="10"/>
  <c r="BD12" i="10"/>
  <c r="AY13" i="10"/>
  <c r="AZ13" i="10"/>
  <c r="BA13" i="10"/>
  <c r="BB13" i="10"/>
  <c r="BC13" i="10"/>
  <c r="BD13" i="10"/>
  <c r="AY14" i="10"/>
  <c r="AZ14" i="10"/>
  <c r="BA14" i="10"/>
  <c r="BB14" i="10"/>
  <c r="BC14" i="10"/>
  <c r="BD14" i="10"/>
  <c r="AY15" i="10"/>
  <c r="AZ15" i="10"/>
  <c r="BA15" i="10"/>
  <c r="BB15" i="10"/>
  <c r="BC15" i="10"/>
  <c r="BD15" i="10"/>
  <c r="AY17" i="10"/>
  <c r="AZ17" i="10"/>
  <c r="AY18" i="10"/>
  <c r="AZ18" i="10"/>
  <c r="BA18" i="10"/>
  <c r="AY19" i="10"/>
  <c r="AZ19" i="10"/>
  <c r="BA19" i="10"/>
  <c r="AY20" i="10"/>
  <c r="AZ20" i="10"/>
  <c r="BA20" i="10"/>
  <c r="AY21" i="10"/>
  <c r="AZ21" i="10"/>
  <c r="BA21" i="10"/>
  <c r="AY22" i="10"/>
  <c r="AZ22" i="10"/>
  <c r="BA22" i="10"/>
  <c r="AY23" i="10"/>
  <c r="AZ23" i="10"/>
  <c r="BA23" i="10"/>
  <c r="AY24" i="10"/>
  <c r="AZ24" i="10"/>
  <c r="BA24" i="10"/>
  <c r="AY25" i="10"/>
  <c r="AZ25" i="10"/>
  <c r="BA25" i="10"/>
  <c r="BB2" i="10"/>
  <c r="BC2" i="10"/>
  <c r="BD2" i="10"/>
  <c r="AZ2" i="10"/>
  <c r="BA2" i="10"/>
  <c r="AY2" i="10"/>
</calcChain>
</file>

<file path=xl/sharedStrings.xml><?xml version="1.0" encoding="utf-8"?>
<sst xmlns="http://schemas.openxmlformats.org/spreadsheetml/2006/main" count="783" uniqueCount="134">
  <si>
    <t>Date</t>
  </si>
  <si>
    <t>ETH defencive</t>
  </si>
  <si>
    <t>BTC defencive</t>
  </si>
  <si>
    <t>Equities</t>
  </si>
  <si>
    <t>Equities Euro Hedged</t>
  </si>
  <si>
    <t>Hedge Funds</t>
  </si>
  <si>
    <t>Hedge Funds Euro Hedged</t>
  </si>
  <si>
    <t>Strategy</t>
  </si>
  <si>
    <t>Weight</t>
  </si>
  <si>
    <t>Fixed Income</t>
  </si>
  <si>
    <t>Commodities</t>
  </si>
  <si>
    <t>Alternatives</t>
  </si>
  <si>
    <t>Private Equity</t>
  </si>
  <si>
    <t>Wealth strategy</t>
  </si>
  <si>
    <t>Component</t>
  </si>
  <si>
    <t>Indices</t>
  </si>
  <si>
    <t>Wood</t>
  </si>
  <si>
    <t>Cow</t>
  </si>
  <si>
    <t>Oil</t>
  </si>
  <si>
    <t>Palladium</t>
  </si>
  <si>
    <t>Water</t>
  </si>
  <si>
    <t>Gold</t>
  </si>
  <si>
    <t>BCI</t>
  </si>
  <si>
    <t>Silver</t>
  </si>
  <si>
    <t>Single Equities</t>
  </si>
  <si>
    <t>Equity Linked Notes</t>
  </si>
  <si>
    <t>Equity Mutual Funds</t>
  </si>
  <si>
    <t>Equity Options</t>
  </si>
  <si>
    <t>Single Bonds</t>
  </si>
  <si>
    <t>Fixed Income Mutual Funds</t>
  </si>
  <si>
    <t>Interest Rate Linked Notes</t>
  </si>
  <si>
    <t>Fixed Income &amp; Cash</t>
  </si>
  <si>
    <t>Money Market &amp; Liquidity</t>
  </si>
  <si>
    <t>Stocks</t>
  </si>
  <si>
    <t>BTC</t>
  </si>
  <si>
    <t>ETH</t>
  </si>
  <si>
    <t>FADAUSDT</t>
  </si>
  <si>
    <t>FAVAXUSDT</t>
  </si>
  <si>
    <t>FBNBUSDT</t>
  </si>
  <si>
    <t>FDOGEUSDT</t>
  </si>
  <si>
    <t>FLINKUSDT</t>
  </si>
  <si>
    <t>FLTCUSDT</t>
  </si>
  <si>
    <t>FSOLUSDT</t>
  </si>
  <si>
    <t>FTRXUSDT</t>
  </si>
  <si>
    <t>FUNIUSDT</t>
  </si>
  <si>
    <t>FXLMUSDT</t>
  </si>
  <si>
    <t>Crypto LS</t>
  </si>
  <si>
    <t>SMA Crypto</t>
  </si>
  <si>
    <t>ARC Euro Cautious PCI</t>
  </si>
  <si>
    <t>CADENCE</t>
  </si>
  <si>
    <t>PnL</t>
  </si>
  <si>
    <t>Equities_CDNE</t>
  </si>
  <si>
    <t>CDNE</t>
  </si>
  <si>
    <t>Equities_CDNE_H</t>
  </si>
  <si>
    <t>FDOTUSDT</t>
  </si>
  <si>
    <t>FXRPUSDT</t>
  </si>
  <si>
    <t>Joint start</t>
  </si>
  <si>
    <t>Joint end</t>
  </si>
  <si>
    <t>Joint pnl</t>
  </si>
  <si>
    <t>Comp start</t>
  </si>
  <si>
    <t>Comp end</t>
  </si>
  <si>
    <t>Comp pnl</t>
  </si>
  <si>
    <t>Personal start</t>
  </si>
  <si>
    <t>Personal end</t>
  </si>
  <si>
    <t>Pers pnl</t>
  </si>
  <si>
    <t>Ext start</t>
  </si>
  <si>
    <t>Ext end</t>
  </si>
  <si>
    <t>Ext pnl</t>
  </si>
  <si>
    <t>Com2 LUX start</t>
  </si>
  <si>
    <t>Comp 2 LUX end</t>
  </si>
  <si>
    <t>Company 2 LUX</t>
  </si>
  <si>
    <t>ENV start</t>
  </si>
  <si>
    <t>ENV end</t>
  </si>
  <si>
    <t>ENV pnl</t>
  </si>
  <si>
    <t>ELE start</t>
  </si>
  <si>
    <t>ELE end</t>
  </si>
  <si>
    <t>ELE pnl</t>
  </si>
  <si>
    <t>ADV start</t>
  </si>
  <si>
    <t>ADV end</t>
  </si>
  <si>
    <t>ADV pnl</t>
  </si>
  <si>
    <t>JPM ADV start</t>
  </si>
  <si>
    <t>JPM ADV end</t>
  </si>
  <si>
    <t>JPM ADV pnl</t>
  </si>
  <si>
    <t>JPM ENV start</t>
  </si>
  <si>
    <t>JPM ENV end</t>
  </si>
  <si>
    <t>JPM ENV pnl</t>
  </si>
  <si>
    <t>JPM ELE start</t>
  </si>
  <si>
    <t>JPM ELE end</t>
  </si>
  <si>
    <t>JPM ELE pnl</t>
  </si>
  <si>
    <t>UBS ADV start</t>
  </si>
  <si>
    <t>UBS ADV end</t>
  </si>
  <si>
    <t>UBS ADV Pnl</t>
  </si>
  <si>
    <t>UBS ELE start</t>
  </si>
  <si>
    <t>UBS ELE end</t>
  </si>
  <si>
    <t>UBS ELE pnl</t>
  </si>
  <si>
    <t>UBS ENV start</t>
  </si>
  <si>
    <t>UBS ENV end</t>
  </si>
  <si>
    <t>UBS pnl</t>
  </si>
  <si>
    <t>total start</t>
  </si>
  <si>
    <t>total end</t>
  </si>
  <si>
    <t>total pnl</t>
  </si>
  <si>
    <t>monthly %</t>
  </si>
  <si>
    <t xml:space="preserve">Date </t>
  </si>
  <si>
    <t>HSBC Total Start</t>
  </si>
  <si>
    <t>HSBC Total PnL</t>
  </si>
  <si>
    <t>JPM Total Start</t>
  </si>
  <si>
    <t>JPM Total End</t>
  </si>
  <si>
    <t>HSBC Toatl End</t>
  </si>
  <si>
    <t>JPM Total PnL</t>
  </si>
  <si>
    <t>UBS Total Start</t>
  </si>
  <si>
    <t xml:space="preserve">UBS Total End </t>
  </si>
  <si>
    <t>UBS Total PnL</t>
  </si>
  <si>
    <t>IB</t>
  </si>
  <si>
    <t>TDIV</t>
  </si>
  <si>
    <t>LYP6</t>
  </si>
  <si>
    <t>TR</t>
  </si>
  <si>
    <t>TR212</t>
  </si>
  <si>
    <t>ALL</t>
  </si>
  <si>
    <t>VWCE</t>
  </si>
  <si>
    <t>AI Equities</t>
  </si>
  <si>
    <t>Amount</t>
  </si>
  <si>
    <t>Pnl_Alloc_%</t>
  </si>
  <si>
    <t>Perf_on_capital</t>
  </si>
  <si>
    <t>Perf_contr_%</t>
  </si>
  <si>
    <t>Equities_CDNE_Euro_Hedged</t>
  </si>
  <si>
    <t>Equity Hedge</t>
  </si>
  <si>
    <t>Interest Rate Link Notes</t>
  </si>
  <si>
    <t>Uranium</t>
  </si>
  <si>
    <t>Fees</t>
  </si>
  <si>
    <t>GZUR</t>
  </si>
  <si>
    <t>Copper</t>
  </si>
  <si>
    <t>BNKE</t>
  </si>
  <si>
    <t>IS3S</t>
  </si>
  <si>
    <t>XAIX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</si>
</sst>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;@"/>
    <numFmt numFmtId="165" formatCode="0.0000"/>
    <numFmt numFmtId="166" formatCode="0.00000"/>
    <numFmt numFmtId="167" formatCode="0.000000"/>
  </numFmts>
  <fonts count="8" x14ac:knownFonts="1">
    <font>
      <sz val="11"/>
      <color theme="1"/>
      <name val="Aptos Narrow"/>
      <family val="2"/>
      <scheme val="minor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54">
    <xf numFmtId="0" fontId="0" fillId="0" borderId="0" xfId="0"/>
    <xf numFmtId="17" fontId="1" fillId="0" borderId="0" xfId="0" applyNumberFormat="1" applyFont="1"/>
    <xf numFmtId="10" fontId="0" fillId="0" borderId="0" xfId="0" applyNumberFormat="1"/>
    <xf numFmtId="10" fontId="1" fillId="0" borderId="0" xfId="0" applyNumberFormat="1" applyFont="1"/>
    <xf numFmtId="10" fontId="2" fillId="0" borderId="0" xfId="0" applyNumberFormat="1" applyFon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2" fillId="0" borderId="0" xfId="0" applyFont="1"/>
    <xf numFmtId="165" fontId="2" fillId="0" borderId="0" xfId="0" applyNumberFormat="1" applyFont="1"/>
    <xf numFmtId="10" fontId="0" fillId="0" borderId="0" xfId="1" applyNumberFormat="1" applyFont="1"/>
    <xf numFmtId="9" fontId="1" fillId="0" borderId="0" xfId="1" applyFont="1"/>
    <xf numFmtId="9" fontId="0" fillId="0" borderId="0" xfId="1" applyFont="1"/>
    <xf numFmtId="10" fontId="5" fillId="0" borderId="0" xfId="0" applyNumberFormat="1" applyFont="1"/>
    <xf numFmtId="166" fontId="0" fillId="0" borderId="0" xfId="0" applyNumberFormat="1"/>
    <xf numFmtId="0" fontId="1" fillId="0" borderId="0" xfId="0" applyFont="1"/>
    <xf numFmtId="4" fontId="1" fillId="2" borderId="0" xfId="0" applyNumberFormat="1" applyFont="1" applyFill="1"/>
    <xf numFmtId="4" fontId="1" fillId="3" borderId="0" xfId="0" applyNumberFormat="1" applyFont="1" applyFill="1"/>
    <xf numFmtId="0" fontId="1" fillId="2" borderId="0" xfId="0" applyFont="1" applyFill="1"/>
    <xf numFmtId="0" fontId="5" fillId="0" borderId="0" xfId="0" applyFont="1"/>
    <xf numFmtId="4" fontId="1" fillId="0" borderId="0" xfId="0" applyNumberFormat="1" applyFont="1"/>
    <xf numFmtId="17" fontId="1" fillId="3" borderId="0" xfId="0" applyNumberFormat="1" applyFont="1" applyFill="1"/>
    <xf numFmtId="0" fontId="1" fillId="3" borderId="0" xfId="0" applyFont="1" applyFill="1"/>
    <xf numFmtId="10" fontId="1" fillId="3" borderId="0" xfId="0" applyNumberFormat="1" applyFont="1" applyFill="1"/>
    <xf numFmtId="4" fontId="5" fillId="0" borderId="0" xfId="0" applyNumberFormat="1" applyFont="1"/>
    <xf numFmtId="0" fontId="6" fillId="0" borderId="0" xfId="0" applyFont="1"/>
    <xf numFmtId="4" fontId="6" fillId="0" borderId="0" xfId="0" applyNumberFormat="1" applyFont="1"/>
    <xf numFmtId="17" fontId="1" fillId="4" borderId="0" xfId="0" applyNumberFormat="1" applyFont="1" applyFill="1"/>
    <xf numFmtId="0" fontId="1" fillId="4" borderId="0" xfId="0" applyFont="1" applyFill="1"/>
    <xf numFmtId="0" fontId="1" fillId="5" borderId="0" xfId="0" applyFont="1" applyFill="1"/>
    <xf numFmtId="4" fontId="1" fillId="5" borderId="0" xfId="0" applyNumberFormat="1" applyFont="1" applyFill="1"/>
    <xf numFmtId="4" fontId="1" fillId="4" borderId="0" xfId="0" applyNumberFormat="1" applyFont="1" applyFill="1"/>
    <xf numFmtId="10" fontId="1" fillId="4" borderId="0" xfId="0" applyNumberFormat="1" applyFont="1" applyFill="1"/>
    <xf numFmtId="4" fontId="6" fillId="4" borderId="0" xfId="0" applyNumberFormat="1" applyFont="1" applyFill="1"/>
    <xf numFmtId="0" fontId="6" fillId="4" borderId="0" xfId="0" applyFont="1" applyFill="1"/>
    <xf numFmtId="0" fontId="5" fillId="4" borderId="0" xfId="0" applyFont="1" applyFill="1"/>
    <xf numFmtId="17" fontId="5" fillId="0" borderId="0" xfId="0" applyNumberFormat="1" applyFont="1"/>
    <xf numFmtId="17" fontId="1" fillId="6" borderId="0" xfId="0" applyNumberFormat="1" applyFont="1" applyFill="1"/>
    <xf numFmtId="10" fontId="1" fillId="6" borderId="0" xfId="0" applyNumberFormat="1" applyFont="1" applyFill="1"/>
    <xf numFmtId="10" fontId="0" fillId="6" borderId="0" xfId="0" applyNumberFormat="1" applyFill="1"/>
    <xf numFmtId="10" fontId="0" fillId="6" borderId="0" xfId="1" applyNumberFormat="1" applyFont="1" applyFill="1"/>
    <xf numFmtId="9" fontId="0" fillId="6" borderId="0" xfId="1" applyFont="1" applyFill="1"/>
    <xf numFmtId="0" fontId="0" fillId="6" borderId="0" xfId="0" applyFill="1"/>
    <xf numFmtId="14" fontId="0" fillId="0" borderId="0" xfId="0" applyNumberFormat="1"/>
    <xf numFmtId="2" fontId="0" fillId="6" borderId="0" xfId="0" applyNumberFormat="1" applyFill="1"/>
    <xf numFmtId="10" fontId="0" fillId="4" borderId="0" xfId="0" applyNumberFormat="1" applyFill="1"/>
    <xf numFmtId="10" fontId="0" fillId="4" borderId="0" xfId="1" applyNumberFormat="1" applyFont="1" applyFill="1"/>
    <xf numFmtId="0" fontId="0" fillId="4" borderId="0" xfId="0" applyFill="1"/>
    <xf numFmtId="10" fontId="7" fillId="0" borderId="0" xfId="0" applyNumberFormat="1" applyFont="1"/>
    <xf numFmtId="0" fontId="0" fillId="7" borderId="0" xfId="0" applyFill="1"/>
    <xf numFmtId="166" fontId="0" fillId="7" borderId="0" xfId="0" applyNumberFormat="1" applyFill="1"/>
    <xf numFmtId="4" fontId="0" fillId="7" borderId="0" xfId="0" applyNumberFormat="1" applyFill="1"/>
    <xf numFmtId="165" fontId="0" fillId="7" borderId="0" xfId="0" applyNumberFormat="1" applyFill="1"/>
    <xf numFmtId="167" fontId="0" fillId="7" borderId="0" xfId="0" applyNumberFormat="1" applyFill="1"/>
  </cellXfs>
  <cellStyles count="2">
    <cellStyle name="Normal" xfId="0" builtinId="0"/>
    <cellStyle name="Percent" xfId="1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ACDC0-0EFE-4FC1-9DD2-E578A7ECBA25}">
  <dimension ref="A1:AH73"/>
  <sheetViews>
    <sheetView zoomScaleNormal="100" workbookViewId="0">
      <pane ySplit="1" topLeftCell="A51" activePane="bottomLeft" state="frozen"/>
      <selection pane="bottomLeft" activeCell="J78" sqref="J78"/>
    </sheetView>
  </sheetViews>
  <sheetFormatPr defaultRowHeight="15" x14ac:dyDescent="0.25"/>
  <cols>
    <col min="2" max="2" width="9.5703125" bestFit="1" customWidth="1"/>
    <col min="3" max="3" width="13.5703125" bestFit="1" customWidth="1"/>
    <col min="4" max="4" width="13.140625" bestFit="1" customWidth="1"/>
    <col min="5" max="6" width="13.140625" customWidth="1"/>
    <col min="7" max="7" width="15.28515625" bestFit="1" customWidth="1"/>
    <col min="8" max="8" width="13.28515625" bestFit="1" customWidth="1"/>
    <col min="10" max="10" width="16.28515625" customWidth="1"/>
    <col min="11" max="11" width="12.28515625" bestFit="1" customWidth="1"/>
    <col min="12" max="12" width="16.28515625" customWidth="1"/>
    <col min="13" max="13" width="16" customWidth="1"/>
    <col min="16" max="16" width="10.140625" bestFit="1" customWidth="1"/>
    <col min="17" max="17" width="12.140625" bestFit="1" customWidth="1"/>
    <col min="18" max="18" width="10.7109375" bestFit="1" customWidth="1"/>
    <col min="20" max="20" width="13.85546875" bestFit="1" customWidth="1"/>
    <col min="21" max="21" width="16.28515625" customWidth="1"/>
    <col min="27" max="28" width="9.140625" style="10"/>
    <col min="30" max="30" width="9.85546875" bestFit="1" customWidth="1"/>
  </cols>
  <sheetData>
    <row r="1" spans="1:32" x14ac:dyDescent="0.25">
      <c r="A1" t="s">
        <v>0</v>
      </c>
      <c r="B1" t="s">
        <v>46</v>
      </c>
      <c r="C1" t="s">
        <v>2</v>
      </c>
      <c r="D1" t="s">
        <v>1</v>
      </c>
      <c r="E1" t="s">
        <v>34</v>
      </c>
      <c r="F1" t="s">
        <v>35</v>
      </c>
      <c r="G1" t="s">
        <v>13</v>
      </c>
      <c r="H1" t="s">
        <v>10</v>
      </c>
      <c r="I1" t="s">
        <v>3</v>
      </c>
      <c r="J1" t="s">
        <v>4</v>
      </c>
      <c r="K1" t="s">
        <v>5</v>
      </c>
      <c r="L1" t="s">
        <v>6</v>
      </c>
      <c r="M1" t="s">
        <v>9</v>
      </c>
      <c r="N1" t="s">
        <v>15</v>
      </c>
      <c r="O1" t="s">
        <v>33</v>
      </c>
      <c r="P1" t="s">
        <v>119</v>
      </c>
      <c r="Q1" t="s">
        <v>125</v>
      </c>
      <c r="R1" t="s">
        <v>47</v>
      </c>
      <c r="S1" t="s">
        <v>48</v>
      </c>
      <c r="T1" t="s">
        <v>51</v>
      </c>
      <c r="U1" t="s">
        <v>124</v>
      </c>
      <c r="V1" t="s">
        <v>117</v>
      </c>
      <c r="W1" t="s">
        <v>112</v>
      </c>
      <c r="X1" t="s">
        <v>115</v>
      </c>
      <c r="Y1" t="s">
        <v>116</v>
      </c>
      <c r="Z1" t="s">
        <v>113</v>
      </c>
      <c r="AA1" s="10" t="s">
        <v>114</v>
      </c>
      <c r="AB1" s="10" t="s">
        <v>118</v>
      </c>
      <c r="AC1" t="s">
        <v>129</v>
      </c>
      <c r="AD1" t="s">
        <v>131</v>
      </c>
      <c r="AE1" t="s">
        <v>132</v>
      </c>
      <c r="AF1" t="s">
        <v>133</v>
      </c>
    </row>
    <row r="2" spans="1:32" x14ac:dyDescent="0.25">
      <c r="A2" s="1">
        <v>43952</v>
      </c>
      <c r="B2" s="11">
        <v>0</v>
      </c>
      <c r="R2" s="10">
        <v>0</v>
      </c>
    </row>
    <row r="3" spans="1:32" x14ac:dyDescent="0.25">
      <c r="A3" s="1">
        <v>43983</v>
      </c>
      <c r="B3" s="3">
        <v>1.1000000000000001E-3</v>
      </c>
      <c r="R3" s="10">
        <v>1.1000000000000001E-3</v>
      </c>
    </row>
    <row r="4" spans="1:32" x14ac:dyDescent="0.25">
      <c r="A4" s="1">
        <v>44013</v>
      </c>
      <c r="B4" s="3">
        <v>8.2000000000000003E-2</v>
      </c>
      <c r="R4" s="10">
        <v>8.2000000000000003E-2</v>
      </c>
    </row>
    <row r="5" spans="1:32" x14ac:dyDescent="0.25">
      <c r="A5" s="1">
        <v>44044</v>
      </c>
      <c r="B5" s="3">
        <v>0.5071</v>
      </c>
      <c r="R5" s="10">
        <v>0.5071</v>
      </c>
    </row>
    <row r="6" spans="1:32" x14ac:dyDescent="0.25">
      <c r="A6" s="1">
        <v>44075</v>
      </c>
      <c r="B6" s="3">
        <v>0.2225</v>
      </c>
      <c r="R6" s="10">
        <v>0.2225</v>
      </c>
    </row>
    <row r="7" spans="1:32" x14ac:dyDescent="0.25">
      <c r="A7" s="1">
        <v>44105</v>
      </c>
      <c r="B7" s="3">
        <v>2.07E-2</v>
      </c>
      <c r="R7" s="10">
        <v>2.07E-2</v>
      </c>
    </row>
    <row r="8" spans="1:32" x14ac:dyDescent="0.25">
      <c r="A8" s="1">
        <v>44136</v>
      </c>
      <c r="B8" s="3">
        <v>4.8099999999999997E-2</v>
      </c>
      <c r="R8" s="10">
        <v>4.8099999999999997E-2</v>
      </c>
    </row>
    <row r="9" spans="1:32" x14ac:dyDescent="0.25">
      <c r="A9" s="1">
        <v>44166</v>
      </c>
      <c r="B9" s="3">
        <v>0.36799999999999999</v>
      </c>
      <c r="R9" s="10">
        <v>0.36799999999999999</v>
      </c>
    </row>
    <row r="10" spans="1:32" x14ac:dyDescent="0.25">
      <c r="A10" s="1">
        <v>44197</v>
      </c>
      <c r="B10" s="3">
        <v>5.5399999999999998E-2</v>
      </c>
      <c r="R10" s="10">
        <v>5.5399999999999998E-2</v>
      </c>
    </row>
    <row r="11" spans="1:32" x14ac:dyDescent="0.25">
      <c r="A11" s="1">
        <v>44228</v>
      </c>
      <c r="B11" s="3">
        <v>0.1298</v>
      </c>
      <c r="R11" s="10">
        <v>0.1298</v>
      </c>
    </row>
    <row r="12" spans="1:32" x14ac:dyDescent="0.25">
      <c r="A12" s="1">
        <v>44256</v>
      </c>
      <c r="B12" s="3">
        <v>-6.6799999999999998E-2</v>
      </c>
      <c r="R12" s="10">
        <v>-6.6799999999999998E-2</v>
      </c>
    </row>
    <row r="13" spans="1:32" x14ac:dyDescent="0.25">
      <c r="A13" s="1">
        <v>44287</v>
      </c>
      <c r="B13" s="3">
        <v>0.2326</v>
      </c>
      <c r="R13" s="10">
        <v>0.2326</v>
      </c>
    </row>
    <row r="14" spans="1:32" x14ac:dyDescent="0.25">
      <c r="A14" s="1">
        <v>44317</v>
      </c>
      <c r="B14" s="3">
        <v>8.6999999999999994E-2</v>
      </c>
      <c r="C14" s="12">
        <v>0</v>
      </c>
      <c r="D14" s="12">
        <v>0</v>
      </c>
      <c r="E14" s="12">
        <v>0</v>
      </c>
      <c r="F14" s="12">
        <v>0</v>
      </c>
      <c r="R14" s="10">
        <v>8.6999999999999994E-2</v>
      </c>
    </row>
    <row r="15" spans="1:32" x14ac:dyDescent="0.25">
      <c r="A15" s="1">
        <v>44348</v>
      </c>
      <c r="B15" s="3">
        <v>-1.89E-2</v>
      </c>
      <c r="C15" s="2">
        <v>4.7199999999999999E-2</v>
      </c>
      <c r="D15" s="2">
        <v>-9.69E-2</v>
      </c>
      <c r="E15" s="2">
        <v>-4.48E-2</v>
      </c>
      <c r="F15" s="2">
        <v>-0.1363</v>
      </c>
      <c r="R15" s="10">
        <v>-1.89E-2</v>
      </c>
    </row>
    <row r="16" spans="1:32" x14ac:dyDescent="0.25">
      <c r="A16" s="1">
        <v>44378</v>
      </c>
      <c r="B16" s="3">
        <v>6.1199999999999997E-2</v>
      </c>
      <c r="C16" s="2">
        <v>0.18679999999999999</v>
      </c>
      <c r="D16" s="2">
        <v>6.2899999999999998E-2</v>
      </c>
      <c r="E16" s="2">
        <v>0.18790000000000001</v>
      </c>
      <c r="F16" s="2">
        <v>0.115</v>
      </c>
      <c r="R16" s="10">
        <v>6.1199999999999997E-2</v>
      </c>
    </row>
    <row r="17" spans="1:18" x14ac:dyDescent="0.25">
      <c r="A17" s="1">
        <v>44409</v>
      </c>
      <c r="B17" s="3">
        <v>6.0600000000000001E-2</v>
      </c>
      <c r="C17" s="2">
        <v>-3.5700000000000003E-2</v>
      </c>
      <c r="D17" s="2">
        <v>0.25700000000000001</v>
      </c>
      <c r="E17" s="2">
        <v>0.1331</v>
      </c>
      <c r="F17" s="2">
        <v>0.35389999999999999</v>
      </c>
      <c r="R17" s="10">
        <v>6.0600000000000001E-2</v>
      </c>
    </row>
    <row r="18" spans="1:18" x14ac:dyDescent="0.25">
      <c r="A18" s="1">
        <v>44440</v>
      </c>
      <c r="B18" s="3">
        <v>6.3200000000000006E-2</v>
      </c>
      <c r="C18" s="2">
        <v>5.2699999999999997E-2</v>
      </c>
      <c r="D18" s="2">
        <v>-3.4000000000000002E-2</v>
      </c>
      <c r="E18" s="2">
        <v>-7.1599999999999997E-2</v>
      </c>
      <c r="F18" s="2">
        <v>-0.1258</v>
      </c>
      <c r="R18" s="10">
        <v>6.3200000000000006E-2</v>
      </c>
    </row>
    <row r="19" spans="1:18" x14ac:dyDescent="0.25">
      <c r="A19" s="1">
        <v>44470</v>
      </c>
      <c r="B19" s="3">
        <v>7.9899999999999999E-2</v>
      </c>
      <c r="C19" s="2">
        <v>0.3861</v>
      </c>
      <c r="D19" s="2">
        <v>0.26050000000000001</v>
      </c>
      <c r="E19" s="2">
        <v>0.40029999999999999</v>
      </c>
      <c r="F19" s="2">
        <v>0.42859999999999998</v>
      </c>
      <c r="R19" s="10">
        <v>7.9899999999999999E-2</v>
      </c>
    </row>
    <row r="20" spans="1:18" x14ac:dyDescent="0.25">
      <c r="A20" s="1">
        <v>44501</v>
      </c>
      <c r="B20" s="3">
        <v>2.3099999999999999E-2</v>
      </c>
      <c r="C20" s="2">
        <v>-4.0000000000000001E-3</v>
      </c>
      <c r="D20" s="2">
        <v>2.35E-2</v>
      </c>
      <c r="E20" s="2">
        <v>-7.0300000000000001E-2</v>
      </c>
      <c r="F20" s="2">
        <v>8.0100000000000005E-2</v>
      </c>
      <c r="R20" s="10">
        <v>2.3099999999999999E-2</v>
      </c>
    </row>
    <row r="21" spans="1:18" x14ac:dyDescent="0.25">
      <c r="A21" s="1">
        <v>44531</v>
      </c>
      <c r="B21" s="3">
        <v>-2.1499999999999998E-2</v>
      </c>
      <c r="C21" s="2">
        <v>-0.16689999999999999</v>
      </c>
      <c r="D21" s="2">
        <v>-4.6399999999999997E-2</v>
      </c>
      <c r="E21" s="2">
        <v>-0.18770000000000001</v>
      </c>
      <c r="F21" s="2">
        <v>-0.2049</v>
      </c>
      <c r="R21" s="10">
        <v>-2.1499999999999998E-2</v>
      </c>
    </row>
    <row r="22" spans="1:18" x14ac:dyDescent="0.25">
      <c r="A22" s="1">
        <v>44562</v>
      </c>
      <c r="B22" s="3">
        <v>-7.3999999999999996E-2</v>
      </c>
      <c r="C22" s="2">
        <v>-0.21490000000000001</v>
      </c>
      <c r="D22" s="2">
        <v>-9.2799999999999994E-2</v>
      </c>
      <c r="E22" s="2">
        <v>-0.16889999999999999</v>
      </c>
      <c r="F22" s="2">
        <v>-0.27</v>
      </c>
      <c r="R22" s="10">
        <v>-7.3999999999999996E-2</v>
      </c>
    </row>
    <row r="23" spans="1:18" x14ac:dyDescent="0.25">
      <c r="A23" s="1">
        <v>44593</v>
      </c>
      <c r="B23" s="3">
        <v>-1.89E-2</v>
      </c>
      <c r="C23" s="2">
        <v>8.7900000000000006E-2</v>
      </c>
      <c r="D23" s="2">
        <v>2.8000000000000001E-2</v>
      </c>
      <c r="E23" s="2">
        <v>0.12239999999999999</v>
      </c>
      <c r="F23" s="2">
        <v>8.5900000000000004E-2</v>
      </c>
      <c r="R23" s="10">
        <v>-1.89E-2</v>
      </c>
    </row>
    <row r="24" spans="1:18" x14ac:dyDescent="0.25">
      <c r="A24" s="1">
        <v>44621</v>
      </c>
      <c r="B24" s="3">
        <v>1.4200000000000001E-2</v>
      </c>
      <c r="C24" s="2">
        <v>7.0900000000000005E-2</v>
      </c>
      <c r="D24" s="2">
        <v>0.159</v>
      </c>
      <c r="E24" s="2">
        <v>5.4300000000000001E-2</v>
      </c>
      <c r="F24" s="2">
        <v>0.1242</v>
      </c>
      <c r="R24" s="10">
        <v>1.4200000000000001E-2</v>
      </c>
    </row>
    <row r="25" spans="1:18" x14ac:dyDescent="0.25">
      <c r="A25" s="1">
        <v>44652</v>
      </c>
      <c r="B25" s="3">
        <v>-1.4200000000000001E-2</v>
      </c>
      <c r="C25" s="2">
        <v>-0.16470000000000001</v>
      </c>
      <c r="D25" s="2">
        <v>-6.0699999999999997E-2</v>
      </c>
      <c r="E25" s="2">
        <v>-0.17180000000000001</v>
      </c>
      <c r="F25" s="2">
        <v>-0.16800000000000001</v>
      </c>
      <c r="R25" s="10">
        <v>-1.4200000000000001E-2</v>
      </c>
    </row>
    <row r="26" spans="1:18" x14ac:dyDescent="0.25">
      <c r="A26" s="1">
        <v>44682</v>
      </c>
      <c r="B26" s="3">
        <v>-2.5499999999999998E-2</v>
      </c>
      <c r="C26" s="2">
        <v>-7.3099999999999998E-2</v>
      </c>
      <c r="D26" s="2">
        <v>-0.13420000000000001</v>
      </c>
      <c r="E26" s="2">
        <v>-0.157</v>
      </c>
      <c r="F26" s="2">
        <v>-0.28860000000000002</v>
      </c>
      <c r="R26" s="10">
        <v>-2.5499999999999998E-2</v>
      </c>
    </row>
    <row r="27" spans="1:18" x14ac:dyDescent="0.25">
      <c r="A27" s="1">
        <v>44713</v>
      </c>
      <c r="B27" s="3">
        <v>-9.0399999999999994E-2</v>
      </c>
      <c r="C27" s="2">
        <v>0.1103</v>
      </c>
      <c r="D27" s="2">
        <v>-0.1537</v>
      </c>
      <c r="E27" s="2">
        <v>-0.37769999999999998</v>
      </c>
      <c r="F27" s="2">
        <v>-0.45050000000000001</v>
      </c>
      <c r="R27" s="10">
        <v>-9.0399999999999994E-2</v>
      </c>
    </row>
    <row r="28" spans="1:18" x14ac:dyDescent="0.25">
      <c r="A28" s="1">
        <v>44743</v>
      </c>
      <c r="B28" s="3">
        <v>1.6199999999999999E-2</v>
      </c>
      <c r="C28" s="2">
        <v>-2.5100000000000001E-2</v>
      </c>
      <c r="D28" s="2">
        <v>1.15E-2</v>
      </c>
      <c r="E28" s="2">
        <v>0.17949999999999999</v>
      </c>
      <c r="F28" s="2">
        <v>0.57550000000000001</v>
      </c>
      <c r="R28" s="10">
        <v>1.6199999999999999E-2</v>
      </c>
    </row>
    <row r="29" spans="1:18" x14ac:dyDescent="0.25">
      <c r="A29" s="1">
        <v>44774</v>
      </c>
      <c r="B29" s="3">
        <v>1.6E-2</v>
      </c>
      <c r="C29" s="2">
        <v>-0.12479999999999999</v>
      </c>
      <c r="D29" s="2">
        <v>-5.2499999999999998E-2</v>
      </c>
      <c r="E29" s="2">
        <v>-0.1409</v>
      </c>
      <c r="F29" s="2">
        <v>-7.5999999999999998E-2</v>
      </c>
      <c r="R29" s="10">
        <v>1.6E-2</v>
      </c>
    </row>
    <row r="30" spans="1:18" x14ac:dyDescent="0.25">
      <c r="A30" s="1">
        <v>44805</v>
      </c>
      <c r="B30" s="3">
        <v>-1.0999999999999999E-2</v>
      </c>
      <c r="C30" s="2">
        <v>-0.11459999999999999</v>
      </c>
      <c r="D30" s="2">
        <v>-0.21160000000000001</v>
      </c>
      <c r="E30" s="2">
        <v>-3.0800000000000001E-2</v>
      </c>
      <c r="F30" s="2">
        <v>-0.14530000000000001</v>
      </c>
      <c r="R30" s="10">
        <v>-1.0999999999999999E-2</v>
      </c>
    </row>
    <row r="31" spans="1:18" x14ac:dyDescent="0.25">
      <c r="A31" s="1">
        <v>44835</v>
      </c>
      <c r="B31" s="3">
        <v>-1.5699999999999999E-2</v>
      </c>
      <c r="C31" s="2">
        <v>4.2099999999999999E-2</v>
      </c>
      <c r="D31" s="2">
        <v>0.1714</v>
      </c>
      <c r="E31" s="2">
        <v>5.4800000000000001E-2</v>
      </c>
      <c r="F31" s="2">
        <v>0.18429999999999999</v>
      </c>
      <c r="R31" s="10">
        <v>-1.5699999999999999E-2</v>
      </c>
    </row>
    <row r="32" spans="1:18" x14ac:dyDescent="0.25">
      <c r="A32" s="1">
        <v>44866</v>
      </c>
      <c r="B32" s="3">
        <v>1.17E-2</v>
      </c>
      <c r="C32" s="2">
        <v>-0.2321</v>
      </c>
      <c r="D32" s="2">
        <v>-0.16869999999999999</v>
      </c>
      <c r="E32" s="2">
        <v>-0.1623</v>
      </c>
      <c r="F32" s="2">
        <v>-0.17610000000000001</v>
      </c>
      <c r="R32" s="10">
        <v>1.17E-2</v>
      </c>
    </row>
    <row r="33" spans="1:34" x14ac:dyDescent="0.25">
      <c r="A33" s="1">
        <v>44896</v>
      </c>
      <c r="B33" s="3">
        <v>-2.7000000000000001E-3</v>
      </c>
      <c r="C33" s="2">
        <v>1.5900000000000001E-2</v>
      </c>
      <c r="D33" s="2">
        <v>1.8599999999999998E-2</v>
      </c>
      <c r="E33" s="2">
        <v>-3.6200000000000003E-2</v>
      </c>
      <c r="F33" s="2">
        <v>-7.6300000000000007E-2</v>
      </c>
      <c r="R33" s="10">
        <v>-2.7000000000000001E-3</v>
      </c>
      <c r="Z33">
        <v>0</v>
      </c>
      <c r="AA33" s="10">
        <v>0</v>
      </c>
    </row>
    <row r="34" spans="1:34" x14ac:dyDescent="0.25">
      <c r="A34" s="1">
        <v>44927</v>
      </c>
      <c r="B34" s="3">
        <v>3.5000000000000001E-3</v>
      </c>
      <c r="C34" s="2">
        <v>0.44330000000000003</v>
      </c>
      <c r="D34" s="2">
        <v>0.3337</v>
      </c>
      <c r="E34" s="2">
        <v>0.39839999999999998</v>
      </c>
      <c r="F34" s="2">
        <v>0.32569999999999999</v>
      </c>
      <c r="R34" s="10">
        <v>3.5000000000000001E-3</v>
      </c>
      <c r="Z34" s="2">
        <v>4.1200000000000001E-2</v>
      </c>
      <c r="AA34" s="2">
        <v>6.7400000000000002E-2</v>
      </c>
      <c r="AB34" s="2">
        <v>5.3100000000000001E-2</v>
      </c>
    </row>
    <row r="35" spans="1:34" x14ac:dyDescent="0.25">
      <c r="A35" s="1">
        <v>44958</v>
      </c>
      <c r="B35" s="4">
        <v>9.2999999999999992E-3</v>
      </c>
      <c r="C35" s="2">
        <v>2.9999999999999997E-4</v>
      </c>
      <c r="D35" s="2">
        <v>2.86E-2</v>
      </c>
      <c r="E35" s="2">
        <v>2.9999999999999997E-4</v>
      </c>
      <c r="F35" s="2">
        <v>1.2200000000000001E-2</v>
      </c>
      <c r="R35" s="10">
        <v>9.2999999999999992E-3</v>
      </c>
      <c r="Z35" s="2">
        <v>-1.18E-2</v>
      </c>
      <c r="AA35" s="2">
        <v>1.89E-2</v>
      </c>
      <c r="AB35" s="2">
        <v>6.4999999999999997E-3</v>
      </c>
    </row>
    <row r="36" spans="1:34" x14ac:dyDescent="0.25">
      <c r="A36" s="1">
        <v>44986</v>
      </c>
      <c r="B36" s="3">
        <v>3.5200000000000002E-2</v>
      </c>
      <c r="C36" s="2">
        <v>0.16089999999999999</v>
      </c>
      <c r="D36" s="2">
        <v>0.13020000000000001</v>
      </c>
      <c r="E36" s="2">
        <v>0.2303</v>
      </c>
      <c r="F36" s="2">
        <v>0.1346</v>
      </c>
      <c r="R36" s="10">
        <v>3.5200000000000002E-2</v>
      </c>
      <c r="Z36" s="2">
        <v>-3.7199999999999997E-2</v>
      </c>
      <c r="AA36" s="2">
        <v>-6.7999999999999996E-3</v>
      </c>
      <c r="AB36" s="2">
        <v>4.1999999999999997E-3</v>
      </c>
    </row>
    <row r="37" spans="1:34" x14ac:dyDescent="0.25">
      <c r="A37" s="1">
        <v>45017</v>
      </c>
      <c r="B37" s="3">
        <v>-1.0800000000000001E-2</v>
      </c>
      <c r="C37" s="2">
        <v>1.52E-2</v>
      </c>
      <c r="D37" s="2">
        <v>3.44E-2</v>
      </c>
      <c r="E37" s="2">
        <v>2.7799999999999998E-2</v>
      </c>
      <c r="F37" s="2">
        <v>3.0099999999999998E-2</v>
      </c>
      <c r="R37" s="10">
        <v>-1.0800000000000001E-2</v>
      </c>
      <c r="Z37" s="2">
        <v>3.85E-2</v>
      </c>
      <c r="AA37" s="2">
        <v>2.5399999999999999E-2</v>
      </c>
      <c r="AB37" s="2">
        <v>-6.1999999999999998E-3</v>
      </c>
    </row>
    <row r="38" spans="1:34" x14ac:dyDescent="0.25">
      <c r="A38" s="1">
        <v>45047</v>
      </c>
      <c r="B38" s="3">
        <v>-1.2E-2</v>
      </c>
      <c r="C38" s="2">
        <v>-6.7000000000000004E-2</v>
      </c>
      <c r="D38" s="2">
        <v>-3.3999999999999998E-3</v>
      </c>
      <c r="E38" s="2">
        <v>-7.0000000000000007E-2</v>
      </c>
      <c r="F38" s="2">
        <v>-1.5E-3</v>
      </c>
      <c r="G38" s="10">
        <v>0</v>
      </c>
      <c r="I38" s="10">
        <v>0</v>
      </c>
      <c r="J38" s="10">
        <v>0</v>
      </c>
      <c r="M38" s="10">
        <v>0</v>
      </c>
      <c r="R38" s="10">
        <v>-1.2E-2</v>
      </c>
      <c r="S38" s="12">
        <v>0</v>
      </c>
      <c r="T38" s="10">
        <v>0</v>
      </c>
      <c r="U38" s="10">
        <v>0</v>
      </c>
      <c r="Z38" s="2">
        <v>-6.0400000000000002E-2</v>
      </c>
      <c r="AA38" s="2">
        <v>-2.4799999999999999E-2</v>
      </c>
      <c r="AB38" s="2">
        <v>2.4799999999999999E-2</v>
      </c>
    </row>
    <row r="39" spans="1:34" x14ac:dyDescent="0.25">
      <c r="A39" s="1">
        <v>45078</v>
      </c>
      <c r="B39" s="3">
        <v>8.6E-3</v>
      </c>
      <c r="C39" s="2">
        <v>8.43E-2</v>
      </c>
      <c r="D39" s="2">
        <v>4.99E-2</v>
      </c>
      <c r="E39" s="2">
        <v>0.1197</v>
      </c>
      <c r="F39" s="2">
        <v>3.15E-2</v>
      </c>
      <c r="G39" s="2">
        <v>1.09E-2</v>
      </c>
      <c r="H39" s="2">
        <v>0</v>
      </c>
      <c r="I39" s="2">
        <v>2.63E-2</v>
      </c>
      <c r="J39" s="2">
        <v>2.63E-2</v>
      </c>
      <c r="M39" s="2">
        <v>-2.3999999999999998E-3</v>
      </c>
      <c r="R39" s="10">
        <v>8.6E-3</v>
      </c>
      <c r="S39" s="10">
        <v>1.6000000000000001E-3</v>
      </c>
      <c r="T39" s="2">
        <v>2.63E-2</v>
      </c>
      <c r="U39" s="2">
        <v>2.63E-2</v>
      </c>
      <c r="Z39" s="2">
        <v>4.9200000000000001E-2</v>
      </c>
      <c r="AA39" s="2">
        <v>2.41E-2</v>
      </c>
      <c r="AB39" s="2">
        <v>3.32E-2</v>
      </c>
    </row>
    <row r="40" spans="1:34" x14ac:dyDescent="0.25">
      <c r="A40" s="1">
        <v>45108</v>
      </c>
      <c r="B40" s="3">
        <v>3.61E-2</v>
      </c>
      <c r="C40" s="2">
        <v>-3.1899999999999998E-2</v>
      </c>
      <c r="D40" s="2">
        <v>-3.2000000000000001E-2</v>
      </c>
      <c r="E40" s="2">
        <v>-4.0899999999999999E-2</v>
      </c>
      <c r="F40" s="2">
        <v>-3.9800000000000002E-2</v>
      </c>
      <c r="G40" s="2">
        <v>6.4000000000000003E-3</v>
      </c>
      <c r="H40" s="2">
        <v>0</v>
      </c>
      <c r="I40" s="2">
        <v>1.9300000000000001E-2</v>
      </c>
      <c r="J40" s="2">
        <v>1.9300000000000001E-2</v>
      </c>
      <c r="K40" s="2">
        <v>0</v>
      </c>
      <c r="L40" s="2">
        <v>0</v>
      </c>
      <c r="M40" s="2">
        <v>5.4999999999999997E-3</v>
      </c>
      <c r="R40" s="10">
        <v>3.61E-2</v>
      </c>
      <c r="S40" s="10">
        <v>8.8000000000000005E-3</v>
      </c>
      <c r="T40" s="2">
        <v>1.9300000000000001E-2</v>
      </c>
      <c r="U40" s="2">
        <v>1.9300000000000001E-2</v>
      </c>
      <c r="Z40" s="2">
        <v>3.5099999999999999E-2</v>
      </c>
      <c r="AA40" s="2">
        <v>2.0199999999999999E-2</v>
      </c>
      <c r="AB40" s="2">
        <v>1.8499999999999999E-2</v>
      </c>
    </row>
    <row r="41" spans="1:34" x14ac:dyDescent="0.25">
      <c r="A41" s="1">
        <v>45139</v>
      </c>
      <c r="B41" s="3">
        <v>-2.1000000000000001E-2</v>
      </c>
      <c r="C41" s="2">
        <v>-8.1699999999999995E-2</v>
      </c>
      <c r="D41" s="2">
        <v>-7.1400000000000005E-2</v>
      </c>
      <c r="E41" s="2">
        <v>-0.1129</v>
      </c>
      <c r="F41" s="2">
        <v>-0.1134</v>
      </c>
      <c r="G41" s="2">
        <v>1.6999999999999999E-3</v>
      </c>
      <c r="H41" s="2">
        <v>1.5E-3</v>
      </c>
      <c r="I41" s="2">
        <v>-2.0299999999999999E-2</v>
      </c>
      <c r="J41" s="2">
        <v>-2.0299999999999999E-2</v>
      </c>
      <c r="K41" s="2">
        <v>3.3700000000000001E-2</v>
      </c>
      <c r="L41" s="2">
        <v>3.3700000000000001E-2</v>
      </c>
      <c r="M41" s="2">
        <v>2.8999999999999998E-3</v>
      </c>
      <c r="R41" s="10">
        <v>-2.1000000000000001E-2</v>
      </c>
      <c r="S41" s="10">
        <v>-4.0000000000000001E-3</v>
      </c>
      <c r="T41" s="2">
        <v>-2.0299999999999999E-2</v>
      </c>
      <c r="U41" s="2">
        <v>-2.0299999999999999E-2</v>
      </c>
      <c r="Z41" s="2">
        <v>-3.2399999999999998E-2</v>
      </c>
      <c r="AA41" s="2">
        <v>-2.4500000000000001E-2</v>
      </c>
      <c r="AB41" s="2">
        <v>-1.52E-2</v>
      </c>
    </row>
    <row r="42" spans="1:34" x14ac:dyDescent="0.25">
      <c r="A42" s="1">
        <v>45170</v>
      </c>
      <c r="B42" s="3">
        <v>-8.6E-3</v>
      </c>
      <c r="C42" s="2">
        <v>1.44E-2</v>
      </c>
      <c r="D42" s="2">
        <v>1.9300000000000001E-2</v>
      </c>
      <c r="E42" s="2">
        <v>0.04</v>
      </c>
      <c r="F42" s="2">
        <v>1.55E-2</v>
      </c>
      <c r="G42" s="2">
        <v>2.7000000000000001E-3</v>
      </c>
      <c r="H42" s="2">
        <v>-2.1700000000000001E-2</v>
      </c>
      <c r="I42" s="2">
        <v>-1.9099999999999999E-2</v>
      </c>
      <c r="J42" s="2">
        <v>-1.9099999999999999E-2</v>
      </c>
      <c r="K42" s="2">
        <v>5.7700000000000001E-2</v>
      </c>
      <c r="L42" s="2">
        <v>5.7700000000000001E-2</v>
      </c>
      <c r="M42" s="2">
        <v>6.9999999999999999E-4</v>
      </c>
      <c r="R42" s="10">
        <v>-8.6E-3</v>
      </c>
      <c r="S42" s="10">
        <v>-1.21E-2</v>
      </c>
      <c r="T42" s="2">
        <v>-1.9099999999999999E-2</v>
      </c>
      <c r="U42" s="2">
        <v>-1.9099999999999999E-2</v>
      </c>
      <c r="Z42" s="2">
        <v>-1.2200000000000001E-2</v>
      </c>
      <c r="AA42" s="2">
        <v>-1.61E-2</v>
      </c>
      <c r="AB42" s="2">
        <v>-1.8200000000000001E-2</v>
      </c>
    </row>
    <row r="43" spans="1:34" x14ac:dyDescent="0.25">
      <c r="A43" s="1">
        <v>45200</v>
      </c>
      <c r="B43" s="3">
        <v>-1.49E-2</v>
      </c>
      <c r="C43" s="2">
        <v>0.17369999999999999</v>
      </c>
      <c r="D43" s="2">
        <v>0.1111</v>
      </c>
      <c r="E43" s="2">
        <v>0.28549999999999998</v>
      </c>
      <c r="F43" s="2">
        <v>8.6900000000000005E-2</v>
      </c>
      <c r="G43" s="2">
        <v>-5.8999999999999999E-3</v>
      </c>
      <c r="H43" s="2">
        <v>8.4099999999999994E-2</v>
      </c>
      <c r="I43" s="2">
        <v>-3.3300000000000003E-2</v>
      </c>
      <c r="J43" s="2">
        <v>-3.3300000000000003E-2</v>
      </c>
      <c r="K43" s="2">
        <v>-1.5699999999999999E-2</v>
      </c>
      <c r="L43" s="2">
        <v>-1.5699999999999999E-2</v>
      </c>
      <c r="M43" s="2">
        <v>1.6000000000000001E-3</v>
      </c>
      <c r="R43" s="10">
        <v>-1.49E-2</v>
      </c>
      <c r="S43" s="10">
        <v>-1.03E-2</v>
      </c>
      <c r="T43" s="2">
        <v>-3.3300000000000003E-2</v>
      </c>
      <c r="U43" s="2">
        <v>-3.3300000000000003E-2</v>
      </c>
      <c r="Z43" s="2">
        <v>-4.0099999999999997E-2</v>
      </c>
      <c r="AA43" s="2">
        <v>-3.6400000000000002E-2</v>
      </c>
      <c r="AB43" s="2">
        <v>-3.5099999999999999E-2</v>
      </c>
    </row>
    <row r="44" spans="1:34" x14ac:dyDescent="0.25">
      <c r="A44" s="1">
        <v>45231</v>
      </c>
      <c r="B44" s="3">
        <v>-6.8199999999999997E-2</v>
      </c>
      <c r="C44" s="2">
        <v>7.7899999999999997E-2</v>
      </c>
      <c r="D44" s="2">
        <v>0.121</v>
      </c>
      <c r="E44" s="2">
        <v>8.7800000000000003E-2</v>
      </c>
      <c r="F44" s="2">
        <v>0.13</v>
      </c>
      <c r="G44" s="2">
        <v>1.06E-2</v>
      </c>
      <c r="H44" s="2">
        <v>-5.6800000000000003E-2</v>
      </c>
      <c r="I44" s="2">
        <v>4.2500000000000003E-2</v>
      </c>
      <c r="J44" s="2">
        <v>4.2500000000000003E-2</v>
      </c>
      <c r="K44" s="2">
        <v>-1.7399999999999999E-2</v>
      </c>
      <c r="L44" s="2">
        <v>-1.7399999999999999E-2</v>
      </c>
      <c r="M44" s="2">
        <v>1.44E-2</v>
      </c>
      <c r="R44" s="10">
        <v>-6.8199999999999997E-2</v>
      </c>
      <c r="S44" s="10">
        <v>2.6699999999999998E-2</v>
      </c>
      <c r="T44" s="2">
        <v>4.2500000000000003E-2</v>
      </c>
      <c r="U44" s="2">
        <v>4.2500000000000003E-2</v>
      </c>
      <c r="Z44" s="39">
        <v>7.8200000000000006E-2</v>
      </c>
      <c r="AA44" s="39">
        <v>6.4199999999999993E-2</v>
      </c>
      <c r="AB44" s="39">
        <v>6.2399999999999997E-2</v>
      </c>
    </row>
    <row r="45" spans="1:34" x14ac:dyDescent="0.25">
      <c r="A45" s="1">
        <v>45261</v>
      </c>
      <c r="B45" s="3">
        <v>0.11799999999999999</v>
      </c>
      <c r="C45" s="2">
        <v>0.10349999999999999</v>
      </c>
      <c r="D45" s="2">
        <v>6.0600000000000001E-2</v>
      </c>
      <c r="E45" s="2">
        <v>0.1207</v>
      </c>
      <c r="F45" s="2">
        <v>0.1115</v>
      </c>
      <c r="G45" s="2">
        <v>1.5900000000000001E-2</v>
      </c>
      <c r="H45" s="2">
        <v>-1.09E-2</v>
      </c>
      <c r="I45" s="2">
        <v>6.1199999999999997E-2</v>
      </c>
      <c r="J45" s="2">
        <v>6.1199999999999997E-2</v>
      </c>
      <c r="K45" s="2">
        <v>3.0000000000000001E-3</v>
      </c>
      <c r="L45" s="2">
        <v>3.0000000000000001E-3</v>
      </c>
      <c r="M45" s="2">
        <v>1.7899999999999999E-2</v>
      </c>
      <c r="R45" s="10">
        <v>0.11799999999999999</v>
      </c>
      <c r="S45" s="10">
        <v>2.07E-2</v>
      </c>
      <c r="T45" s="2">
        <v>6.1199999999999997E-2</v>
      </c>
      <c r="U45" s="2">
        <v>6.1199999999999997E-2</v>
      </c>
      <c r="Z45" s="2">
        <v>6.2100000000000002E-2</v>
      </c>
      <c r="AA45" s="2">
        <v>3.8100000000000002E-2</v>
      </c>
      <c r="AB45" s="2">
        <v>3.5200000000000002E-2</v>
      </c>
    </row>
    <row r="46" spans="1:34" x14ac:dyDescent="0.25">
      <c r="A46" s="1">
        <v>45292</v>
      </c>
      <c r="B46" s="4">
        <v>1.12E-2</v>
      </c>
      <c r="C46" s="2">
        <v>1.2500000000000001E-2</v>
      </c>
      <c r="D46" s="2">
        <v>1.6999999999999999E-3</v>
      </c>
      <c r="E46" s="2">
        <v>7.4999999999999997E-3</v>
      </c>
      <c r="F46" s="2">
        <v>5.0000000000000001E-4</v>
      </c>
      <c r="G46" s="2">
        <v>3.8999999999999998E-3</v>
      </c>
      <c r="H46" s="2">
        <v>6.7000000000000002E-3</v>
      </c>
      <c r="I46" s="2">
        <v>-1E-3</v>
      </c>
      <c r="J46" s="2">
        <v>-1E-3</v>
      </c>
      <c r="K46" s="2">
        <v>3.5299999999999998E-2</v>
      </c>
      <c r="L46" s="2">
        <v>3.5299999999999998E-2</v>
      </c>
      <c r="M46" s="2">
        <v>4.4000000000000003E-3</v>
      </c>
      <c r="R46" s="10">
        <v>1.12E-2</v>
      </c>
      <c r="S46" s="10">
        <v>4.6999999999999993E-3</v>
      </c>
      <c r="T46" s="2">
        <v>-1E-3</v>
      </c>
      <c r="U46" s="2">
        <v>-1E-3</v>
      </c>
      <c r="V46" s="10">
        <v>2.1499999999999998E-2</v>
      </c>
      <c r="W46" s="10">
        <v>2.1498695165900417E-2</v>
      </c>
      <c r="X46" s="10"/>
      <c r="Z46" s="2">
        <v>4.7999999999999996E-3</v>
      </c>
      <c r="AA46" s="2">
        <v>1.43E-2</v>
      </c>
      <c r="AB46" s="2">
        <v>2.1499999999999998E-2</v>
      </c>
      <c r="AF46" s="2"/>
      <c r="AG46" s="2"/>
      <c r="AH46" s="2"/>
    </row>
    <row r="47" spans="1:34" x14ac:dyDescent="0.25">
      <c r="A47" s="1">
        <v>45323</v>
      </c>
      <c r="B47" s="4">
        <v>7.4999999999999997E-2</v>
      </c>
      <c r="C47" s="2">
        <v>0.41039999999999999</v>
      </c>
      <c r="D47" s="2">
        <v>0.42759999999999998</v>
      </c>
      <c r="E47" s="2">
        <v>0.43719999999999998</v>
      </c>
      <c r="F47" s="2">
        <v>0.46410000000000001</v>
      </c>
      <c r="G47" s="2">
        <v>7.6E-3</v>
      </c>
      <c r="H47" s="2">
        <v>-1.1900000000000001E-2</v>
      </c>
      <c r="I47" s="2">
        <v>2.2499999999999999E-2</v>
      </c>
      <c r="J47" s="2">
        <v>2.2499999999999999E-2</v>
      </c>
      <c r="K47" s="2">
        <v>2.41E-2</v>
      </c>
      <c r="L47" s="2">
        <v>2.41E-2</v>
      </c>
      <c r="M47" s="2">
        <v>-2.9999999999999997E-4</v>
      </c>
      <c r="R47" s="10">
        <v>7.4999999999999997E-2</v>
      </c>
      <c r="S47" s="10">
        <v>4.7999999999999996E-3</v>
      </c>
      <c r="T47" s="2">
        <v>2.2499999999999999E-2</v>
      </c>
      <c r="U47" s="2">
        <v>2.2499999999999999E-2</v>
      </c>
      <c r="V47" s="10">
        <v>6.13E-2</v>
      </c>
      <c r="W47" s="10">
        <v>6.1334845906598545E-2</v>
      </c>
      <c r="X47" s="10"/>
      <c r="Z47" s="2">
        <v>1.8499999999999999E-2</v>
      </c>
      <c r="AA47" s="2">
        <v>1.9800000000000002E-2</v>
      </c>
      <c r="AB47" s="2">
        <v>4.8599999999999997E-2</v>
      </c>
      <c r="AH47" s="2"/>
    </row>
    <row r="48" spans="1:34" x14ac:dyDescent="0.25">
      <c r="A48" s="1">
        <v>45352</v>
      </c>
      <c r="B48" s="4">
        <v>5.91E-2</v>
      </c>
      <c r="C48" s="2">
        <v>0.26769999999999999</v>
      </c>
      <c r="D48" s="2">
        <v>8.4900000000000003E-2</v>
      </c>
      <c r="E48" s="2">
        <v>0.1656</v>
      </c>
      <c r="F48" s="2">
        <v>9.1499999999999998E-2</v>
      </c>
      <c r="G48" s="2">
        <v>1.5800000000000002E-2</v>
      </c>
      <c r="H48" s="2">
        <v>8.6800000000000002E-2</v>
      </c>
      <c r="I48" s="2">
        <v>4.1500000000000002E-2</v>
      </c>
      <c r="J48" s="2">
        <v>4.1500000000000002E-2</v>
      </c>
      <c r="K48" s="2">
        <v>0.02</v>
      </c>
      <c r="L48" s="2">
        <v>0.02</v>
      </c>
      <c r="M48" s="2">
        <v>6.6E-3</v>
      </c>
      <c r="R48" s="10">
        <v>5.91E-2</v>
      </c>
      <c r="S48" s="10">
        <v>1.43E-2</v>
      </c>
      <c r="T48" s="2">
        <v>4.1500000000000002E-2</v>
      </c>
      <c r="U48" s="2">
        <v>4.1500000000000002E-2</v>
      </c>
      <c r="V48" s="10">
        <v>2.0301863022990974E-2</v>
      </c>
      <c r="W48" s="10">
        <v>4.1967354724926631E-2</v>
      </c>
      <c r="X48" s="10">
        <v>9.3115819647437981E-3</v>
      </c>
      <c r="Z48" s="2">
        <v>4.2099999999999999E-2</v>
      </c>
      <c r="AA48" s="2">
        <v>4.0399999999999998E-2</v>
      </c>
      <c r="AB48" s="2">
        <v>3.4099999999999998E-2</v>
      </c>
    </row>
    <row r="49" spans="1:34" x14ac:dyDescent="0.25">
      <c r="A49" s="1">
        <v>45383</v>
      </c>
      <c r="B49" s="4">
        <v>-5.6500000000000002E-2</v>
      </c>
      <c r="C49" s="2">
        <v>-0.1361</v>
      </c>
      <c r="D49" s="2">
        <v>-0.12640000000000001</v>
      </c>
      <c r="E49" s="2">
        <v>-0.15</v>
      </c>
      <c r="F49" s="2">
        <v>-0.17419999999999999</v>
      </c>
      <c r="G49" s="2">
        <v>-5.4000000000000003E-3</v>
      </c>
      <c r="H49" s="2">
        <v>4.5900000000000003E-2</v>
      </c>
      <c r="I49" s="2">
        <v>-2.5600000000000001E-2</v>
      </c>
      <c r="J49" s="2">
        <v>-2.5600000000000001E-2</v>
      </c>
      <c r="K49" s="2">
        <v>9.2999999999999992E-3</v>
      </c>
      <c r="L49" s="2">
        <v>9.2999999999999992E-3</v>
      </c>
      <c r="M49" s="2">
        <v>-5.0000000000000001E-4</v>
      </c>
      <c r="R49" s="10">
        <v>-5.6500000000000002E-2</v>
      </c>
      <c r="S49" s="10">
        <v>-6.9999999999999993E-3</v>
      </c>
      <c r="T49" s="2">
        <v>-2.5600000000000001E-2</v>
      </c>
      <c r="U49" s="2">
        <v>-2.5600000000000001E-2</v>
      </c>
      <c r="V49" s="10">
        <v>-1.1668163224583417E-2</v>
      </c>
      <c r="W49" s="10">
        <v>-1.7204689912238003E-2</v>
      </c>
      <c r="X49" s="10">
        <v>-8.5718063798507771E-3</v>
      </c>
      <c r="Z49" s="2">
        <v>-1.52E-2</v>
      </c>
      <c r="AA49" s="2">
        <v>-8.2000000000000007E-3</v>
      </c>
      <c r="AB49" s="2">
        <v>-1.54E-2</v>
      </c>
    </row>
    <row r="50" spans="1:34" x14ac:dyDescent="0.25">
      <c r="A50" s="1">
        <v>45413</v>
      </c>
      <c r="B50" s="4">
        <v>3.0999999999999999E-3</v>
      </c>
      <c r="C50" s="2">
        <v>0.1694</v>
      </c>
      <c r="D50" s="2">
        <v>0.20019999999999999</v>
      </c>
      <c r="E50" s="2">
        <v>0.113</v>
      </c>
      <c r="F50" s="2">
        <v>0.2482</v>
      </c>
      <c r="G50" s="2">
        <v>4.4000000000000003E-3</v>
      </c>
      <c r="H50" s="2">
        <v>-2.9999999999999997E-4</v>
      </c>
      <c r="I50" s="2">
        <v>9.1999999999999998E-3</v>
      </c>
      <c r="J50" s="2">
        <v>9.1999999999999998E-3</v>
      </c>
      <c r="K50" s="2">
        <v>-3.0999999999999999E-3</v>
      </c>
      <c r="L50" s="2">
        <v>-3.0999999999999999E-3</v>
      </c>
      <c r="M50" s="2">
        <v>2.8E-3</v>
      </c>
      <c r="R50" s="10">
        <v>3.0999999999999999E-3</v>
      </c>
      <c r="S50" s="10">
        <v>5.1999999999999998E-3</v>
      </c>
      <c r="T50" s="2">
        <v>9.1999999999999998E-3</v>
      </c>
      <c r="U50" s="2">
        <v>9.1999999999999998E-3</v>
      </c>
      <c r="V50" s="10">
        <v>1.4117635182540056E-2</v>
      </c>
      <c r="W50" s="10">
        <v>1.7152076080495959E-2</v>
      </c>
      <c r="X50" s="10">
        <v>1.2435371374324378E-2</v>
      </c>
      <c r="Z50" s="2">
        <v>3.2800000000000003E-2</v>
      </c>
      <c r="AA50" s="2">
        <v>3.32E-2</v>
      </c>
      <c r="AB50" s="2">
        <v>2.5499999999999998E-2</v>
      </c>
    </row>
    <row r="51" spans="1:34" x14ac:dyDescent="0.25">
      <c r="A51" s="1">
        <v>45444</v>
      </c>
      <c r="B51" s="4">
        <v>-1.6799999999999999E-2</v>
      </c>
      <c r="C51" s="2">
        <v>-9.6600000000000005E-2</v>
      </c>
      <c r="D51" s="2">
        <v>-6.8099999999999994E-2</v>
      </c>
      <c r="E51" s="2">
        <v>-7.1300000000000002E-2</v>
      </c>
      <c r="F51" s="2">
        <v>-8.6999999999999994E-2</v>
      </c>
      <c r="G51" s="2">
        <v>4.0300000000000002E-2</v>
      </c>
      <c r="H51" s="2">
        <v>1.21E-2</v>
      </c>
      <c r="I51" s="2">
        <v>8.4599999999999995E-2</v>
      </c>
      <c r="J51" s="2">
        <v>8.4599999999999995E-2</v>
      </c>
      <c r="K51" s="2">
        <v>1.6799999999999999E-2</v>
      </c>
      <c r="L51" s="2">
        <v>1.6799999999999999E-2</v>
      </c>
      <c r="M51" s="2">
        <v>6.0000000000000001E-3</v>
      </c>
      <c r="R51" s="10">
        <v>-1.6799999999999999E-2</v>
      </c>
      <c r="S51" s="10">
        <v>8.1000000000000013E-3</v>
      </c>
      <c r="T51" s="2">
        <v>8.4599999999999995E-2</v>
      </c>
      <c r="U51" s="2">
        <v>8.4599999999999995E-2</v>
      </c>
      <c r="V51" s="10">
        <v>2.3592988636689904E-2</v>
      </c>
      <c r="W51" s="10">
        <v>3.1117378812241414E-2</v>
      </c>
      <c r="X51" s="10">
        <v>1.9301885090646786E-2</v>
      </c>
      <c r="Z51" s="2">
        <v>-1.41E-2</v>
      </c>
      <c r="AA51" s="2">
        <v>-1.32E-2</v>
      </c>
      <c r="AB51" s="2">
        <v>1.6199999999999999E-2</v>
      </c>
      <c r="AH51" s="2"/>
    </row>
    <row r="52" spans="1:34" x14ac:dyDescent="0.25">
      <c r="A52" s="1">
        <v>45474</v>
      </c>
      <c r="B52" s="4">
        <v>-4.36E-2</v>
      </c>
      <c r="C52" s="2">
        <v>-5.21E-2</v>
      </c>
      <c r="D52" s="2">
        <v>-7.3999999999999996E-2</v>
      </c>
      <c r="E52" s="2">
        <v>3.1E-2</v>
      </c>
      <c r="F52" s="2">
        <v>-5.8700000000000002E-2</v>
      </c>
      <c r="G52" s="2">
        <v>-1.06E-2</v>
      </c>
      <c r="H52" s="2">
        <v>2.93E-2</v>
      </c>
      <c r="I52" s="2">
        <v>-4.8500000000000001E-2</v>
      </c>
      <c r="J52" s="2">
        <v>-4.8500000000000001E-2</v>
      </c>
      <c r="K52" s="2">
        <v>-1.7500000000000002E-2</v>
      </c>
      <c r="L52" s="2">
        <v>-1.7500000000000002E-2</v>
      </c>
      <c r="M52" s="2">
        <v>8.3000000000000001E-3</v>
      </c>
      <c r="R52" s="10">
        <v>-4.36E-2</v>
      </c>
      <c r="S52" s="10">
        <v>8.8999999999999999E-3</v>
      </c>
      <c r="T52" s="2">
        <v>-4.8500000000000001E-2</v>
      </c>
      <c r="U52" s="2">
        <v>-4.8500000000000001E-2</v>
      </c>
      <c r="V52" s="10">
        <v>-6.3269533825585089E-3</v>
      </c>
      <c r="W52" s="10">
        <v>-1.2782002939859538E-4</v>
      </c>
      <c r="X52" s="10">
        <v>-9.9032533994042327E-3</v>
      </c>
      <c r="Z52" s="2">
        <v>4.24E-2</v>
      </c>
      <c r="AA52" s="2">
        <v>1.52E-2</v>
      </c>
      <c r="AB52" s="2">
        <v>1.4800000000000001E-2</v>
      </c>
    </row>
    <row r="53" spans="1:34" x14ac:dyDescent="0.25">
      <c r="A53" s="1">
        <v>45505</v>
      </c>
      <c r="B53" s="4">
        <v>-1.7899999999999999E-2</v>
      </c>
      <c r="C53" s="2">
        <v>-4.24E-2</v>
      </c>
      <c r="D53" s="2">
        <v>-0.1323</v>
      </c>
      <c r="E53" s="2">
        <v>-8.7400000000000005E-2</v>
      </c>
      <c r="F53" s="2">
        <v>-0.22220000000000001</v>
      </c>
      <c r="G53" s="2">
        <v>2.0000000000000001E-4</v>
      </c>
      <c r="H53" s="2">
        <v>8.0000000000000004E-4</v>
      </c>
      <c r="I53" s="2">
        <v>2.41E-2</v>
      </c>
      <c r="J53" s="2">
        <v>2.41E-2</v>
      </c>
      <c r="K53" s="2">
        <v>-1.7100000000000001E-2</v>
      </c>
      <c r="L53" s="2">
        <v>-1.7100000000000001E-2</v>
      </c>
      <c r="M53" s="2">
        <v>-1.6000000000000001E-3</v>
      </c>
      <c r="R53" s="10">
        <v>-1.7899999999999999E-2</v>
      </c>
      <c r="S53" s="10">
        <v>5.1000000000000004E-3</v>
      </c>
      <c r="T53" s="2">
        <v>2.41E-2</v>
      </c>
      <c r="U53" s="2">
        <v>2.41E-2</v>
      </c>
      <c r="V53" s="10">
        <v>1.5442983862349102E-2</v>
      </c>
      <c r="W53" s="10">
        <v>8.367188711428053E-3</v>
      </c>
      <c r="X53" s="10">
        <v>2.0365104910492704E-2</v>
      </c>
      <c r="Z53" s="2">
        <v>1.6799999999999999E-2</v>
      </c>
      <c r="AA53" s="2">
        <v>1.5900000000000001E-2</v>
      </c>
      <c r="AB53" s="2">
        <v>7.7000000000000002E-3</v>
      </c>
    </row>
    <row r="54" spans="1:34" x14ac:dyDescent="0.25">
      <c r="A54" s="1">
        <v>45536</v>
      </c>
      <c r="B54" s="4">
        <v>1.2200000000000001E-2</v>
      </c>
      <c r="C54" s="2">
        <v>9.2200000000000004E-2</v>
      </c>
      <c r="D54" s="2">
        <v>1.43E-2</v>
      </c>
      <c r="E54" s="2">
        <v>7.3899999999999993E-2</v>
      </c>
      <c r="F54" s="2">
        <v>3.5700000000000003E-2</v>
      </c>
      <c r="G54" s="2">
        <v>1.1000000000000001E-3</v>
      </c>
      <c r="H54" s="2">
        <v>3.2300000000000002E-2</v>
      </c>
      <c r="I54" s="2">
        <v>-7.7000000000000002E-3</v>
      </c>
      <c r="J54" s="2">
        <v>-7.7000000000000002E-3</v>
      </c>
      <c r="K54" s="2">
        <v>-6.8999999999999999E-3</v>
      </c>
      <c r="L54" s="2">
        <v>-6.8999999999999999E-3</v>
      </c>
      <c r="M54" s="2">
        <v>7.3000000000000001E-3</v>
      </c>
      <c r="R54" s="10">
        <v>1.2200000000000001E-2</v>
      </c>
      <c r="S54" s="10">
        <v>7.6E-3</v>
      </c>
      <c r="T54" s="2">
        <v>-7.7000000000000002E-3</v>
      </c>
      <c r="U54" s="2">
        <v>-7.7000000000000002E-3</v>
      </c>
      <c r="V54" s="2">
        <v>1.6751706738268979E-2</v>
      </c>
      <c r="W54" s="2">
        <v>1.7433693133382056E-2</v>
      </c>
      <c r="X54" s="2">
        <v>1.6279330863365971E-2</v>
      </c>
      <c r="Y54" s="2"/>
      <c r="Z54" s="2">
        <v>2.1499999999999998E-2</v>
      </c>
      <c r="AA54" s="2">
        <v>9.4000000000000004E-3</v>
      </c>
      <c r="AB54" s="2">
        <v>8.0999999999999996E-3</v>
      </c>
    </row>
    <row r="55" spans="1:34" x14ac:dyDescent="0.25">
      <c r="A55" s="1">
        <v>45566</v>
      </c>
      <c r="B55" s="4">
        <v>-4.4999999999999997E-3</v>
      </c>
      <c r="C55" s="2">
        <v>0.1173</v>
      </c>
      <c r="D55" s="2">
        <v>-3.6900000000000002E-2</v>
      </c>
      <c r="E55" s="2">
        <v>0.1087</v>
      </c>
      <c r="F55" s="2">
        <v>-3.3500000000000002E-2</v>
      </c>
      <c r="G55" s="2">
        <v>5.3E-3</v>
      </c>
      <c r="H55" s="2">
        <v>6.0100000000000001E-2</v>
      </c>
      <c r="I55" s="2">
        <v>1.4800000000000001E-2</v>
      </c>
      <c r="J55" s="2">
        <v>1.4800000000000001E-2</v>
      </c>
      <c r="K55" s="2">
        <v>3.4299999999999997E-2</v>
      </c>
      <c r="L55" s="2">
        <v>3.4299999999999997E-2</v>
      </c>
      <c r="M55" s="2">
        <v>-2.8999999999999998E-3</v>
      </c>
      <c r="R55" s="10">
        <v>-4.4999999999999997E-3</v>
      </c>
      <c r="S55" s="10">
        <v>-5.3E-3</v>
      </c>
      <c r="T55" s="2">
        <v>1.4800000000000001E-2</v>
      </c>
      <c r="U55" s="2">
        <v>1.4800000000000001E-2</v>
      </c>
      <c r="V55" s="10">
        <v>1.9164882744357126E-2</v>
      </c>
      <c r="W55" s="10">
        <v>1.9182430757974434E-2</v>
      </c>
      <c r="X55" s="10">
        <v>1.9152714358193768E-2</v>
      </c>
      <c r="Z55" s="2">
        <v>-2.8799999999999999E-2</v>
      </c>
      <c r="AA55" s="2">
        <v>-3.1199999999999999E-2</v>
      </c>
      <c r="AB55" s="2">
        <v>-3.15E-2</v>
      </c>
    </row>
    <row r="56" spans="1:34" x14ac:dyDescent="0.25">
      <c r="A56" s="1">
        <v>45597</v>
      </c>
      <c r="B56" s="3">
        <v>5.4999999999999997E-3</v>
      </c>
      <c r="C56" s="2">
        <v>0.34820000000000001</v>
      </c>
      <c r="D56" s="2">
        <v>0.35460000000000003</v>
      </c>
      <c r="E56" s="2">
        <v>0.37359999999999999</v>
      </c>
      <c r="F56" s="2">
        <v>0.47299999999999998</v>
      </c>
      <c r="G56" s="2">
        <v>1.15E-2</v>
      </c>
      <c r="H56" s="2">
        <v>-4.0000000000000002E-4</v>
      </c>
      <c r="I56" s="2">
        <v>6.4699999999999994E-2</v>
      </c>
      <c r="J56" s="2">
        <v>6.4699999999999994E-2</v>
      </c>
      <c r="K56" s="2">
        <v>4.3200000000000002E-2</v>
      </c>
      <c r="L56" s="2">
        <v>4.3200000000000002E-2</v>
      </c>
      <c r="M56" s="2">
        <v>1.9699999999999999E-2</v>
      </c>
      <c r="R56" s="10">
        <v>5.4999999999999997E-3</v>
      </c>
      <c r="S56" s="10">
        <v>1.7299999999999999E-2</v>
      </c>
      <c r="T56" s="2">
        <v>6.4699999999999994E-2</v>
      </c>
      <c r="U56" s="2">
        <v>6.4699999999999994E-2</v>
      </c>
      <c r="V56" s="10">
        <v>2.5010645263201292E-2</v>
      </c>
      <c r="W56" s="10">
        <v>4.2297471762124506E-2</v>
      </c>
      <c r="X56" s="10">
        <v>1.3703921086013926E-2</v>
      </c>
      <c r="Z56" s="39">
        <v>1.24E-2</v>
      </c>
      <c r="AA56" s="39">
        <v>1.18E-2</v>
      </c>
      <c r="AB56" s="39">
        <v>4.1200000000000001E-2</v>
      </c>
    </row>
    <row r="57" spans="1:34" s="42" customFormat="1" x14ac:dyDescent="0.25">
      <c r="A57" s="37">
        <v>45627</v>
      </c>
      <c r="B57" s="38">
        <v>-2.8400000000000002E-2</v>
      </c>
      <c r="C57" s="39">
        <v>-2.58E-2</v>
      </c>
      <c r="D57" s="39">
        <v>-0.1203</v>
      </c>
      <c r="E57" s="39">
        <v>-3.1300000000000001E-2</v>
      </c>
      <c r="F57" s="39">
        <v>-0.1007</v>
      </c>
      <c r="G57" s="39">
        <v>-4.7999999999999996E-3</v>
      </c>
      <c r="H57" s="39">
        <v>-1.2800000000000001E-2</v>
      </c>
      <c r="I57" s="39">
        <v>-3.04E-2</v>
      </c>
      <c r="J57" s="39">
        <v>-3.04E-2</v>
      </c>
      <c r="K57" s="39">
        <v>1.2800000000000001E-2</v>
      </c>
      <c r="L57" s="39">
        <v>1.2800000000000001E-2</v>
      </c>
      <c r="M57" s="39">
        <v>-5.7999999999999996E-3</v>
      </c>
      <c r="N57" s="39">
        <v>0</v>
      </c>
      <c r="O57" s="39">
        <v>0</v>
      </c>
      <c r="P57" s="39">
        <v>-1.47E-2</v>
      </c>
      <c r="Q57" s="39"/>
      <c r="R57" s="40">
        <v>-2.8400000000000002E-2</v>
      </c>
      <c r="S57" s="40">
        <v>-5.7999999999999996E-3</v>
      </c>
      <c r="T57" s="39">
        <v>-3.04E-2</v>
      </c>
      <c r="U57" s="39">
        <v>-3.04E-2</v>
      </c>
      <c r="V57" s="40">
        <v>-2.628763632384068E-3</v>
      </c>
      <c r="W57" s="40">
        <v>7.9428999916686394E-4</v>
      </c>
      <c r="X57" s="40">
        <v>-5.4014882108597284E-3</v>
      </c>
      <c r="Y57" s="41">
        <v>0</v>
      </c>
      <c r="Z57" s="2">
        <v>-1.9400000000000001E-2</v>
      </c>
      <c r="AA57" s="2">
        <v>-1.9599999999999999E-2</v>
      </c>
      <c r="AB57" s="2">
        <v>1.5800000000000002E-2</v>
      </c>
    </row>
    <row r="58" spans="1:34" x14ac:dyDescent="0.25">
      <c r="A58" s="1">
        <v>45658</v>
      </c>
      <c r="B58" s="3">
        <v>1.6799999999999999E-2</v>
      </c>
      <c r="C58" s="2">
        <v>6.2100000000000002E-2</v>
      </c>
      <c r="D58" s="2">
        <v>-2.5499999999999998E-2</v>
      </c>
      <c r="E58" s="2">
        <v>9.6100000000000005E-2</v>
      </c>
      <c r="F58" s="2">
        <v>-1.03E-2</v>
      </c>
      <c r="G58" s="2">
        <v>6.4999999999999997E-3</v>
      </c>
      <c r="H58" s="2">
        <v>6.5799999999999997E-2</v>
      </c>
      <c r="I58" s="2">
        <v>2.9600000000000001E-2</v>
      </c>
      <c r="J58" s="2">
        <v>2.92E-2</v>
      </c>
      <c r="K58" s="2">
        <v>-8.0000000000000004E-4</v>
      </c>
      <c r="L58" s="2">
        <v>-8.0000000000000004E-4</v>
      </c>
      <c r="M58" s="2">
        <v>3.5999999999999999E-3</v>
      </c>
      <c r="N58" s="2">
        <v>-1.0800000000000001E-2</v>
      </c>
      <c r="O58" s="2">
        <v>1.72E-2</v>
      </c>
      <c r="P58" s="2">
        <v>2.6800000000000001E-2</v>
      </c>
      <c r="Q58" s="2"/>
      <c r="R58" s="10">
        <v>1.6799999999999999E-2</v>
      </c>
      <c r="S58" s="10">
        <v>1.1399999999999999E-2</v>
      </c>
      <c r="T58" s="2">
        <v>2.9600000000000001E-2</v>
      </c>
      <c r="U58" s="2">
        <v>2.92E-2</v>
      </c>
      <c r="V58" s="10">
        <v>2.1309665883882944E-2</v>
      </c>
      <c r="W58" s="10">
        <v>1.5941733180075079E-2</v>
      </c>
      <c r="X58" s="10">
        <v>2.6008007271143052E-2</v>
      </c>
      <c r="Y58" s="10">
        <v>4.6773767023666757E-3</v>
      </c>
      <c r="Z58" s="2">
        <v>3.5200000000000002E-2</v>
      </c>
      <c r="AA58" s="2">
        <v>2.6100000000000002E-2</v>
      </c>
      <c r="AB58" s="2">
        <v>4.2000000000000003E-2</v>
      </c>
    </row>
    <row r="59" spans="1:34" x14ac:dyDescent="0.25">
      <c r="A59" s="1">
        <v>45689</v>
      </c>
      <c r="B59" s="3">
        <v>5.3699999999999998E-2</v>
      </c>
      <c r="C59" s="2">
        <v>-0.19700000000000001</v>
      </c>
      <c r="D59">
        <v>-0.28000000000000003</v>
      </c>
      <c r="E59" s="2">
        <v>-0.17599999999999999</v>
      </c>
      <c r="F59" s="2">
        <v>-0.32150000000000001</v>
      </c>
      <c r="G59" s="2">
        <v>-8.9999999999999993E-3</v>
      </c>
      <c r="H59" s="2">
        <v>-6.4299999999999996E-2</v>
      </c>
      <c r="I59" s="2">
        <v>-5.9200000000000003E-2</v>
      </c>
      <c r="J59" s="2">
        <v>-5.67E-2</v>
      </c>
      <c r="K59" s="2">
        <v>-7.7000000000000002E-3</v>
      </c>
      <c r="L59" s="2">
        <v>-7.7000000000000002E-3</v>
      </c>
      <c r="M59" s="2">
        <v>8.3999999999999995E-3</v>
      </c>
      <c r="N59" s="2">
        <v>-1.37E-2</v>
      </c>
      <c r="O59" s="2">
        <v>-1.78E-2</v>
      </c>
      <c r="P59" s="2">
        <v>-2.1299999999999999E-2</v>
      </c>
      <c r="Q59" s="2"/>
      <c r="R59" s="10">
        <v>5.3699999999999998E-2</v>
      </c>
      <c r="S59" s="10">
        <v>4.1999999999999997E-3</v>
      </c>
      <c r="T59" s="2">
        <v>-5.9200000000000003E-2</v>
      </c>
      <c r="U59" s="2">
        <v>-5.67E-2</v>
      </c>
      <c r="V59" s="10">
        <v>-6.5904401844062432E-3</v>
      </c>
      <c r="W59" s="10">
        <v>6.0799593964455667E-4</v>
      </c>
      <c r="X59" s="10">
        <v>-1.0432770418868031E-2</v>
      </c>
      <c r="Y59" s="10">
        <v>-1.6272891429741199E-2</v>
      </c>
      <c r="Z59" s="2">
        <v>3.4099999999999998E-2</v>
      </c>
      <c r="AA59" s="2">
        <v>2.7E-2</v>
      </c>
      <c r="AB59" s="2">
        <v>-2.1999999999999999E-2</v>
      </c>
      <c r="AE59" s="2"/>
      <c r="AF59" s="2"/>
      <c r="AG59" s="2"/>
    </row>
    <row r="60" spans="1:34" x14ac:dyDescent="0.25">
      <c r="A60" s="1">
        <v>45717</v>
      </c>
      <c r="B60" s="3">
        <v>-1.145E-2</v>
      </c>
      <c r="C60" s="2">
        <v>-5.9999999999999995E-4</v>
      </c>
      <c r="D60">
        <v>-0.16</v>
      </c>
      <c r="E60" s="2">
        <v>-2.1600000000000001E-2</v>
      </c>
      <c r="F60" s="2">
        <v>-0.1852</v>
      </c>
      <c r="G60" s="2">
        <v>-9.7999999999999997E-3</v>
      </c>
      <c r="H60" s="2">
        <v>1.8200000000000001E-2</v>
      </c>
      <c r="I60" s="2">
        <v>-4.8800000000000003E-2</v>
      </c>
      <c r="J60" s="2">
        <v>-4.8800000000000003E-2</v>
      </c>
      <c r="K60" s="2">
        <v>-3.6499999999999998E-2</v>
      </c>
      <c r="L60" s="2">
        <v>-3.6499999999999998E-2</v>
      </c>
      <c r="M60" s="2">
        <v>-1.7600000000000001E-2</v>
      </c>
      <c r="N60" s="2">
        <v>-4.7999999999999996E-3</v>
      </c>
      <c r="O60" s="2">
        <v>-2.3800000000000002E-2</v>
      </c>
      <c r="P60" s="2">
        <v>-1.15E-2</v>
      </c>
      <c r="Q60" s="2"/>
      <c r="R60" s="10">
        <v>-1.145E-2</v>
      </c>
      <c r="S60" s="10">
        <v>-1.6799999999999999E-2</v>
      </c>
      <c r="T60" s="2">
        <v>-4.8800000000000003E-2</v>
      </c>
      <c r="U60" s="2">
        <v>-4.8800000000000003E-2</v>
      </c>
      <c r="V60" s="10">
        <v>-5.635653613161562E-2</v>
      </c>
      <c r="W60" s="10">
        <v>-6.622600535768064E-2</v>
      </c>
      <c r="X60" s="10">
        <v>-4.9905806640504702E-2</v>
      </c>
      <c r="Y60" s="10">
        <v>-5.1719858372123562E-2</v>
      </c>
      <c r="Z60" s="2">
        <v>2.0500000000000001E-2</v>
      </c>
      <c r="AA60" s="2">
        <v>2.1000000000000001E-2</v>
      </c>
      <c r="AB60" s="2">
        <v>-7.1999999999999995E-2</v>
      </c>
      <c r="AG60" s="2"/>
    </row>
    <row r="61" spans="1:34" x14ac:dyDescent="0.25">
      <c r="A61" s="1">
        <v>45748</v>
      </c>
      <c r="B61" s="3">
        <v>4.9500000000000002E-2</v>
      </c>
      <c r="C61" s="2">
        <v>0.14080000000000001</v>
      </c>
      <c r="D61" s="2">
        <v>1.9199999999999998E-2</v>
      </c>
      <c r="E61" s="2">
        <v>0.14119999999999999</v>
      </c>
      <c r="F61" s="2">
        <v>-1.6299999999999999E-2</v>
      </c>
      <c r="G61" s="2">
        <v>-3.7000000000000002E-3</v>
      </c>
      <c r="H61" s="2">
        <v>-6.6600000000000006E-2</v>
      </c>
      <c r="I61" s="2">
        <v>-1.72E-2</v>
      </c>
      <c r="J61" s="2">
        <v>-1.2999999999999999E-3</v>
      </c>
      <c r="K61" s="2">
        <v>-4.7399999999999998E-2</v>
      </c>
      <c r="L61" s="2">
        <v>-8.0000000000000002E-3</v>
      </c>
      <c r="M61" s="2">
        <v>-1.6999999999999999E-3</v>
      </c>
      <c r="N61" s="2">
        <v>5.3900000000000003E-2</v>
      </c>
      <c r="O61" s="2">
        <v>5.3499999999999999E-2</v>
      </c>
      <c r="P61" s="2">
        <v>1.6899999999999998E-2</v>
      </c>
      <c r="Q61" s="2"/>
      <c r="R61" s="10">
        <v>4.9500000000000002E-2</v>
      </c>
      <c r="S61" s="10">
        <v>-5.1000000000000004E-3</v>
      </c>
      <c r="T61" s="2">
        <v>-1.72E-2</v>
      </c>
      <c r="U61" s="2">
        <v>-1.2999999999999999E-3</v>
      </c>
      <c r="V61" s="10">
        <v>-4.7698831581440837E-3</v>
      </c>
      <c r="W61" s="10">
        <v>-4.1940393940937182E-2</v>
      </c>
      <c r="X61" s="10">
        <v>5.4988345792645887E-3</v>
      </c>
      <c r="Y61" s="10">
        <v>-5.4008727163296077E-3</v>
      </c>
      <c r="Z61" s="2">
        <v>1.5800000000000002E-2</v>
      </c>
      <c r="AA61" s="2">
        <v>1.4500000000000001E-2</v>
      </c>
      <c r="AB61" s="2">
        <v>-3.9E-2</v>
      </c>
      <c r="AG61" s="2"/>
    </row>
    <row r="62" spans="1:34" x14ac:dyDescent="0.25">
      <c r="A62" s="1">
        <v>45778</v>
      </c>
      <c r="B62" s="3">
        <v>2.3900000000000001E-2</v>
      </c>
      <c r="C62" s="2">
        <v>0.1071</v>
      </c>
      <c r="D62" s="2">
        <v>0.35320000000000001</v>
      </c>
      <c r="E62" s="2">
        <v>0.11070000000000001</v>
      </c>
      <c r="F62" s="2">
        <v>0.40989999999999999</v>
      </c>
      <c r="G62" s="2">
        <v>7.3000000000000001E-3</v>
      </c>
      <c r="H62" s="2">
        <v>1.4E-2</v>
      </c>
      <c r="I62" s="2">
        <v>3.0200000000000001E-2</v>
      </c>
      <c r="J62" s="2">
        <v>2.9399999999999999E-2</v>
      </c>
      <c r="K62" s="2">
        <v>6.1000000000000004E-3</v>
      </c>
      <c r="L62" s="2">
        <v>3.5999999999999999E-3</v>
      </c>
      <c r="M62" s="2">
        <v>5.3E-3</v>
      </c>
      <c r="N62" s="2">
        <v>2.8E-3</v>
      </c>
      <c r="O62" s="2">
        <v>6.7999999999999996E-3</v>
      </c>
      <c r="P62" s="2">
        <v>2.98E-2</v>
      </c>
      <c r="Q62" s="2"/>
      <c r="R62" s="10">
        <v>2.3900000000000001E-2</v>
      </c>
      <c r="S62" s="10">
        <v>1.3300000000000001E-2</v>
      </c>
      <c r="T62" s="2">
        <v>3.0200000000000001E-2</v>
      </c>
      <c r="U62" s="2">
        <v>2.9399999999999999E-2</v>
      </c>
      <c r="V62" s="10">
        <v>3.5154436193413297E-2</v>
      </c>
      <c r="W62" s="10">
        <v>5.5011074033606056E-2</v>
      </c>
      <c r="X62" s="10">
        <v>2.5931223626595168E-2</v>
      </c>
      <c r="Y62" s="10">
        <v>6.5021631426906978E-3</v>
      </c>
      <c r="Z62" s="2">
        <v>3.0200000000000001E-2</v>
      </c>
      <c r="AA62" s="2">
        <v>1.9199999999999998E-2</v>
      </c>
      <c r="AB62" s="2">
        <v>6.0999999999999999E-2</v>
      </c>
      <c r="AG62" s="2"/>
    </row>
    <row r="63" spans="1:34" x14ac:dyDescent="0.25">
      <c r="A63" s="1">
        <v>45809</v>
      </c>
      <c r="B63" s="3">
        <v>-2.4E-2</v>
      </c>
      <c r="C63" s="2">
        <v>6.1999999999999998E-3</v>
      </c>
      <c r="D63" s="2">
        <v>-2.92E-2</v>
      </c>
      <c r="E63" s="2">
        <v>2.3900000000000001E-2</v>
      </c>
      <c r="F63" s="2">
        <v>-1.6899999999999998E-2</v>
      </c>
      <c r="G63" s="2">
        <v>6.7000000000000002E-3</v>
      </c>
      <c r="H63" s="2">
        <v>-3.7000000000000002E-3</v>
      </c>
      <c r="I63" s="2">
        <v>3.5999999999999999E-3</v>
      </c>
      <c r="J63" s="2">
        <v>1.61E-2</v>
      </c>
      <c r="K63" s="2">
        <v>1.5900000000000001E-2</v>
      </c>
      <c r="L63" s="2">
        <v>6.2399999999999997E-2</v>
      </c>
      <c r="M63" s="2">
        <v>1.4E-3</v>
      </c>
      <c r="N63" s="2">
        <v>3.5999999999999999E-3</v>
      </c>
      <c r="O63" s="2">
        <v>8.5000000000000006E-3</v>
      </c>
      <c r="P63" s="2">
        <v>-3.5000000000000001E-3</v>
      </c>
      <c r="Q63" s="2"/>
      <c r="R63" s="10">
        <v>-2.4E-2</v>
      </c>
      <c r="S63" s="10">
        <v>1.7000000000000001E-3</v>
      </c>
      <c r="T63" s="2">
        <v>3.5999999999999999E-3</v>
      </c>
      <c r="U63" s="2">
        <v>1.61E-2</v>
      </c>
      <c r="V63" s="10">
        <v>1.3828056486068885E-2</v>
      </c>
      <c r="W63" s="10">
        <v>1.0534671822971742E-2</v>
      </c>
      <c r="X63" s="10">
        <v>1.8064809073637056E-2</v>
      </c>
      <c r="Y63" s="10">
        <v>1.6747875143858781E-3</v>
      </c>
      <c r="Z63" s="2">
        <v>-1.5E-3</v>
      </c>
      <c r="AA63" s="2">
        <v>-1.8E-3</v>
      </c>
      <c r="AB63" s="2">
        <v>0.01</v>
      </c>
      <c r="AE63" s="2"/>
      <c r="AF63" s="2"/>
      <c r="AG63" s="2"/>
    </row>
    <row r="64" spans="1:34" x14ac:dyDescent="0.25">
      <c r="A64" s="1">
        <v>45839</v>
      </c>
      <c r="B64" s="3">
        <v>2.18E-2</v>
      </c>
      <c r="C64" s="2">
        <v>8.9200000000000002E-2</v>
      </c>
      <c r="D64" s="2">
        <v>0.3881</v>
      </c>
      <c r="E64" s="2">
        <v>8.0500000000000002E-2</v>
      </c>
      <c r="F64" s="2">
        <v>0.48670000000000002</v>
      </c>
      <c r="G64" s="2">
        <v>1.3599999999999999E-2</v>
      </c>
      <c r="H64" s="2">
        <v>3.4799999999999998E-2</v>
      </c>
      <c r="I64" s="2">
        <v>3.9600000000000003E-2</v>
      </c>
      <c r="J64" s="2">
        <v>2.47E-2</v>
      </c>
      <c r="K64" s="2">
        <v>6.4399999999999999E-2</v>
      </c>
      <c r="L64" s="2">
        <v>2.4899999999999999E-2</v>
      </c>
      <c r="M64" s="2">
        <v>5.7999999999999996E-3</v>
      </c>
      <c r="N64" s="2">
        <v>1.77E-2</v>
      </c>
      <c r="O64" s="2">
        <v>-7.4000000000000003E-3</v>
      </c>
      <c r="P64" s="2">
        <v>7.3000000000000001E-3</v>
      </c>
      <c r="Q64" s="2"/>
      <c r="R64" s="10">
        <v>2.18E-2</v>
      </c>
      <c r="S64" s="10">
        <v>8.8000000000000005E-3</v>
      </c>
      <c r="T64" s="2">
        <v>3.9600000000000003E-2</v>
      </c>
      <c r="U64" s="2">
        <v>2.47E-2</v>
      </c>
      <c r="V64" s="10">
        <v>2.1379981087303213E-2</v>
      </c>
      <c r="W64" s="10">
        <v>3.7792710693531184E-2</v>
      </c>
      <c r="X64" s="10">
        <v>1.0641867445539077E-2</v>
      </c>
      <c r="Y64" s="10">
        <v>1.7474948219577291E-2</v>
      </c>
      <c r="Z64" s="2">
        <v>-1.1000000000000001E-3</v>
      </c>
      <c r="AA64" s="2">
        <v>8.0999999999999996E-3</v>
      </c>
      <c r="AB64" s="2">
        <v>4.7E-2</v>
      </c>
    </row>
    <row r="65" spans="1:32" x14ac:dyDescent="0.25">
      <c r="A65" s="1">
        <v>45870</v>
      </c>
      <c r="B65" s="3">
        <v>-1.32E-2</v>
      </c>
      <c r="C65" s="2">
        <v>-4.87E-2</v>
      </c>
      <c r="D65" s="2">
        <v>0.14050000000000001</v>
      </c>
      <c r="E65" s="2">
        <v>-6.5000000000000002E-2</v>
      </c>
      <c r="F65" s="2">
        <v>0.1875</v>
      </c>
      <c r="G65" s="2">
        <v>2.9999999999999997E-4</v>
      </c>
      <c r="H65" s="2">
        <v>1.8499999999999999E-2</v>
      </c>
      <c r="I65" s="2">
        <v>-9.1000000000000004E-3</v>
      </c>
      <c r="J65" s="2">
        <v>8.0000000000000004E-4</v>
      </c>
      <c r="K65" s="2">
        <v>-1.9199999999999998E-2</v>
      </c>
      <c r="L65" s="2">
        <v>4.7000000000000002E-3</v>
      </c>
      <c r="M65" s="2">
        <v>4.1000000000000003E-3</v>
      </c>
      <c r="N65" s="2">
        <v>7.4000000000000003E-3</v>
      </c>
      <c r="O65" s="2">
        <v>1.11E-2</v>
      </c>
      <c r="P65" s="2">
        <v>5.0000000000000001E-4</v>
      </c>
      <c r="Q65" s="2"/>
      <c r="R65" s="10">
        <v>-1.32E-2</v>
      </c>
      <c r="S65" s="10">
        <v>3.0999999999999999E-3</v>
      </c>
      <c r="T65" s="2">
        <v>-9.1000000000000004E-3</v>
      </c>
      <c r="U65" s="2">
        <v>8.0000000000000004E-4</v>
      </c>
      <c r="V65" s="10">
        <v>1.4812695422699473E-2</v>
      </c>
      <c r="W65" s="10">
        <v>-4.1637084763490595E-4</v>
      </c>
      <c r="X65" s="10">
        <v>2.5413239368718088E-2</v>
      </c>
      <c r="Y65" s="10">
        <v>1.7814211957592807E-2</v>
      </c>
      <c r="Z65" s="2">
        <v>4.7E-2</v>
      </c>
      <c r="AA65" s="2">
        <v>4.58E-2</v>
      </c>
      <c r="AB65" s="2">
        <v>-3.0000000000000001E-3</v>
      </c>
    </row>
    <row r="66" spans="1:32" x14ac:dyDescent="0.25">
      <c r="A66" s="1">
        <v>45901</v>
      </c>
      <c r="B66" s="3">
        <v>-8.6999999999999994E-3</v>
      </c>
      <c r="C66" s="2">
        <v>1.5800000000000002E-2</v>
      </c>
      <c r="D66" s="2">
        <v>-4.8999999999999998E-3</v>
      </c>
      <c r="E66" s="2">
        <v>5.3800000000000001E-2</v>
      </c>
      <c r="F66" s="2">
        <v>-5.5599999999999997E-2</v>
      </c>
      <c r="G66" s="2">
        <v>1.26E-2</v>
      </c>
      <c r="H66" s="2">
        <v>3.5700000000000003E-2</v>
      </c>
      <c r="I66" s="2">
        <v>2.8500000000000001E-2</v>
      </c>
      <c r="J66" s="2">
        <v>2.8899999999999999E-2</v>
      </c>
      <c r="K66" s="2">
        <v>-3.0999999999999999E-3</v>
      </c>
      <c r="L66" s="2">
        <v>-1.1999999999999999E-3</v>
      </c>
      <c r="M66" s="2">
        <v>7.1000000000000004E-3</v>
      </c>
      <c r="N66" s="2">
        <v>1.7500000000000002E-2</v>
      </c>
      <c r="O66" s="2">
        <v>7.7000000000000002E-3</v>
      </c>
      <c r="P66" s="2">
        <v>2.8799999999999999E-2</v>
      </c>
      <c r="Q66" s="2"/>
      <c r="R66" s="10">
        <v>-8.6999999999999994E-3</v>
      </c>
      <c r="S66" s="10">
        <v>8.1000000000000013E-3</v>
      </c>
      <c r="T66" s="2">
        <v>2.8500000000000001E-2</v>
      </c>
      <c r="U66" s="2">
        <v>2.8899999999999999E-2</v>
      </c>
      <c r="V66" s="10">
        <v>1.3266691859663116E-2</v>
      </c>
      <c r="W66" s="10">
        <v>2.3385223358521889E-2</v>
      </c>
      <c r="X66" s="10">
        <v>3.0094742644525718E-2</v>
      </c>
      <c r="Y66" s="10">
        <v>-0.10853010648596328</v>
      </c>
      <c r="Z66" s="2">
        <v>5.4999999999999997E-3</v>
      </c>
      <c r="AA66" s="2">
        <v>4.1999999999999997E-3</v>
      </c>
      <c r="AB66" s="2">
        <v>2.9000000000000001E-2</v>
      </c>
    </row>
    <row r="67" spans="1:32" x14ac:dyDescent="0.25">
      <c r="A67" s="1">
        <v>45931</v>
      </c>
      <c r="B67" s="3">
        <v>6.0000000000000001E-3</v>
      </c>
      <c r="C67" s="2">
        <v>-2.35E-2</v>
      </c>
      <c r="D67" s="2">
        <v>-2.7900000000000001E-2</v>
      </c>
      <c r="E67" s="2">
        <v>-3.9E-2</v>
      </c>
      <c r="F67" s="2">
        <v>-7.1599999999999997E-2</v>
      </c>
      <c r="G67" s="2">
        <v>1.1299999999999999E-2</v>
      </c>
      <c r="H67" s="2">
        <v>3.4299999999999997E-2</v>
      </c>
      <c r="I67" s="2">
        <v>1.8599999999999998E-2</v>
      </c>
      <c r="J67" s="2">
        <v>1.09E-2</v>
      </c>
      <c r="K67" s="2">
        <v>3.7100000000000001E-2</v>
      </c>
      <c r="L67" s="2">
        <v>1.5599999999999999E-2</v>
      </c>
      <c r="M67" s="2">
        <v>7.1999999999999998E-3</v>
      </c>
      <c r="N67" s="2">
        <v>1.46E-2</v>
      </c>
      <c r="O67" s="2">
        <v>-4.8999999999999998E-3</v>
      </c>
      <c r="P67" s="2">
        <v>-1.1999999999999999E-3</v>
      </c>
      <c r="Q67" s="2"/>
      <c r="R67" s="10">
        <v>6.0000000000000001E-3</v>
      </c>
      <c r="S67" s="10">
        <v>1.2E-2</v>
      </c>
      <c r="T67" s="2">
        <v>1.8599999999999998E-2</v>
      </c>
      <c r="U67" s="2">
        <v>1.09E-2</v>
      </c>
      <c r="V67" s="10">
        <v>2.7686429415639369E-2</v>
      </c>
      <c r="W67" s="10">
        <v>3.2165482116952138E-2</v>
      </c>
      <c r="X67" s="10">
        <v>2.3208029468071434E-2</v>
      </c>
      <c r="Y67" s="10">
        <v>3.0800141163446648E-2</v>
      </c>
      <c r="Z67" s="2">
        <v>4.7999999999999996E-3</v>
      </c>
      <c r="AA67" s="2">
        <v>8.8000000000000005E-3</v>
      </c>
      <c r="AB67" s="2">
        <v>4.3999999999999997E-2</v>
      </c>
    </row>
    <row r="68" spans="1:32" x14ac:dyDescent="0.25">
      <c r="A68" s="1">
        <v>45962</v>
      </c>
      <c r="B68" s="3">
        <v>-4.3400000000000001E-2</v>
      </c>
      <c r="C68" s="2">
        <v>-0.13350000000000001</v>
      </c>
      <c r="D68" s="2">
        <v>-0.11310000000000001</v>
      </c>
      <c r="E68" s="2">
        <v>-0.1767</v>
      </c>
      <c r="F68" s="2">
        <v>-0.2238</v>
      </c>
      <c r="G68" s="2">
        <v>4.4000000000000003E-3</v>
      </c>
      <c r="H68" s="2">
        <v>3.3000000000000002E-2</v>
      </c>
      <c r="I68" s="2">
        <v>-8.3999999999999995E-3</v>
      </c>
      <c r="J68" s="2">
        <v>-6.1000000000000004E-3</v>
      </c>
      <c r="K68" s="2">
        <v>4.53E-2</v>
      </c>
      <c r="L68" s="2">
        <v>4.9799999999999997E-2</v>
      </c>
      <c r="M68" s="2">
        <v>1E-3</v>
      </c>
      <c r="N68" s="2">
        <v>1.09E-2</v>
      </c>
      <c r="O68" s="2">
        <v>-4.1999999999999997E-3</v>
      </c>
      <c r="P68" s="2">
        <v>6.6E-3</v>
      </c>
      <c r="Q68" s="2"/>
      <c r="R68" s="10">
        <v>-4.6699999999999998E-2</v>
      </c>
      <c r="S68" s="10">
        <v>-1E-3</v>
      </c>
      <c r="T68" s="2">
        <v>-8.3999999999999995E-3</v>
      </c>
      <c r="U68" s="2">
        <v>-6.1000000000000004E-3</v>
      </c>
      <c r="V68" s="10">
        <v>-4.7777319835635712E-3</v>
      </c>
      <c r="W68" s="10">
        <v>-6.1173520460267028E-4</v>
      </c>
      <c r="X68" s="10">
        <v>-2.3446658851113966E-3</v>
      </c>
      <c r="Y68" s="10">
        <v>-1.7736690763483942E-2</v>
      </c>
      <c r="Z68" s="2">
        <v>4.3799999999999999E-2</v>
      </c>
      <c r="AA68" s="39">
        <v>4.1200000000000001E-2</v>
      </c>
      <c r="AB68" s="39">
        <v>-5.0000000000000001E-3</v>
      </c>
    </row>
    <row r="69" spans="1:32" s="47" customFormat="1" x14ac:dyDescent="0.25">
      <c r="A69" s="27">
        <v>45992</v>
      </c>
      <c r="B69" s="32">
        <v>-8.6E-3</v>
      </c>
      <c r="C69" s="45">
        <v>-3.2500000000000001E-2</v>
      </c>
      <c r="D69" s="45">
        <v>2.2800000000000001E-2</v>
      </c>
      <c r="E69" s="45">
        <v>-2.9700000000000001E-2</v>
      </c>
      <c r="F69" s="45">
        <v>-6.4999999999999997E-3</v>
      </c>
      <c r="G69" s="45">
        <v>-2.6800000000000001E-3</v>
      </c>
      <c r="H69" s="45">
        <v>2.75E-2</v>
      </c>
      <c r="I69" s="45">
        <v>-2.1000000000000001E-2</v>
      </c>
      <c r="J69" s="45">
        <v>-1.72E-2</v>
      </c>
      <c r="K69" s="45">
        <v>1.1000000000000001E-3</v>
      </c>
      <c r="L69" s="45">
        <v>1.03E-2</v>
      </c>
      <c r="M69" s="45">
        <v>-1.1000000000000001E-3</v>
      </c>
      <c r="N69" s="45">
        <v>-2.0999999999999999E-3</v>
      </c>
      <c r="O69" s="45">
        <v>-3.8999999999999998E-3</v>
      </c>
      <c r="P69" s="45">
        <v>-8.8000000000000005E-3</v>
      </c>
      <c r="Q69" s="45">
        <v>-1.2800000000000001E-2</v>
      </c>
      <c r="R69" s="46">
        <v>-1.5599999999999999E-2</v>
      </c>
      <c r="S69" s="46">
        <v>0</v>
      </c>
      <c r="T69" s="45">
        <v>-2.1000000000000001E-2</v>
      </c>
      <c r="U69" s="45">
        <v>-1.72E-2</v>
      </c>
      <c r="V69" s="46">
        <v>9.1836553329897094E-3</v>
      </c>
      <c r="W69" s="46">
        <v>9.5205815547585448E-3</v>
      </c>
      <c r="X69" s="46">
        <v>9.6278887583234329E-3</v>
      </c>
      <c r="Y69" s="46">
        <v>7.5419733158235136E-3</v>
      </c>
      <c r="Z69" s="45">
        <v>4.4200000000000003E-2</v>
      </c>
      <c r="AA69" s="45">
        <v>4.0099999999999997E-2</v>
      </c>
      <c r="AB69" s="45">
        <v>4.0000000000000001E-3</v>
      </c>
    </row>
    <row r="70" spans="1:32" x14ac:dyDescent="0.25">
      <c r="A70" s="1">
        <v>46023</v>
      </c>
      <c r="B70" s="13">
        <v>-1.2E-2</v>
      </c>
      <c r="C70" s="2">
        <v>-7.7200000000000005E-2</v>
      </c>
      <c r="D70" s="2">
        <v>-0.14760000000000001</v>
      </c>
      <c r="E70" s="2">
        <v>-0.1017</v>
      </c>
      <c r="F70" s="2">
        <v>-0.17519999999999999</v>
      </c>
      <c r="G70" s="2">
        <v>8.2500000000000004E-3</v>
      </c>
      <c r="H70" s="2">
        <v>8.0199999999999994E-2</v>
      </c>
      <c r="I70" s="2">
        <v>8.2000000000000007E-3</v>
      </c>
      <c r="J70" s="2">
        <v>8.6999999999999994E-3</v>
      </c>
      <c r="K70" s="2">
        <v>1.4E-3</v>
      </c>
      <c r="L70" s="2">
        <v>1.41E-2</v>
      </c>
      <c r="M70" s="2">
        <v>4.4999999999999997E-3</v>
      </c>
      <c r="N70" s="2">
        <v>3.7000000000000002E-3</v>
      </c>
      <c r="O70" s="2">
        <v>-2.9999999999999997E-4</v>
      </c>
      <c r="P70" s="2">
        <v>1.46E-2</v>
      </c>
      <c r="Q70" s="2">
        <v>1.52E-2</v>
      </c>
      <c r="R70" s="2">
        <v>-1.4800000000000001E-2</v>
      </c>
      <c r="S70" s="10">
        <v>0.01</v>
      </c>
      <c r="T70" s="2">
        <v>8.2000000000000007E-3</v>
      </c>
      <c r="U70" s="2">
        <v>8.6999999999999994E-3</v>
      </c>
      <c r="V70" s="10">
        <v>1.3004451776915201E-2</v>
      </c>
      <c r="W70" s="10">
        <v>2.0981263686428608E-2</v>
      </c>
      <c r="X70" s="10">
        <v>5.1915696397584199E-3</v>
      </c>
      <c r="Y70" s="10">
        <v>1.8011776931070367E-2</v>
      </c>
      <c r="Z70" s="2">
        <v>3.9600000000000003E-2</v>
      </c>
      <c r="AA70" s="10">
        <v>3.2000000000000001E-2</v>
      </c>
      <c r="AB70" s="10">
        <v>1.24E-2</v>
      </c>
      <c r="AC70" s="2">
        <v>0.1399</v>
      </c>
      <c r="AD70" s="2">
        <v>4.5600000000000002E-2</v>
      </c>
      <c r="AE70" s="2">
        <v>5.4199999999999998E-2</v>
      </c>
      <c r="AF70" s="2">
        <v>4.1999999999999997E-3</v>
      </c>
    </row>
    <row r="71" spans="1:32" x14ac:dyDescent="0.25">
      <c r="A71" s="1">
        <v>46054</v>
      </c>
      <c r="B71" s="2">
        <v>-2.1700000000000001E-2</v>
      </c>
      <c r="C71" s="2">
        <v>-0.1205</v>
      </c>
      <c r="D71" s="2">
        <v>-0.1414</v>
      </c>
      <c r="E71" s="2">
        <v>-0.14940000000000001</v>
      </c>
      <c r="F71" s="2">
        <v>-0.1981</v>
      </c>
      <c r="G71" s="2">
        <v>1.7000000000000001E-2</v>
      </c>
      <c r="H71" s="2">
        <v>5.0099999999999999E-2</v>
      </c>
      <c r="I71" s="2">
        <v>3.9100000000000003E-2</v>
      </c>
      <c r="J71" s="2">
        <v>3.8800000000000001E-2</v>
      </c>
      <c r="K71" s="2">
        <v>2.41E-2</v>
      </c>
      <c r="L71" s="2">
        <v>1.66E-2</v>
      </c>
      <c r="M71" s="2">
        <v>7.4000000000000003E-3</v>
      </c>
      <c r="N71" s="2">
        <v>8.3000000000000001E-3</v>
      </c>
      <c r="O71" s="2">
        <v>-2.5999999999999999E-3</v>
      </c>
      <c r="P71" s="2">
        <v>2.9000000000000001E-2</v>
      </c>
      <c r="Q71" s="2">
        <v>4.4999999999999998E-2</v>
      </c>
      <c r="R71" s="2">
        <v>-1.2800000000000001E-2</v>
      </c>
      <c r="S71" s="2">
        <v>1.0999999999999999E-2</v>
      </c>
      <c r="V71" s="10">
        <v>9.1841849220155088E-3</v>
      </c>
      <c r="W71" s="10">
        <v>1.2038554032173021E-2</v>
      </c>
      <c r="X71" s="10">
        <v>6.088825214899618E-3</v>
      </c>
      <c r="Y71" s="10">
        <v>1.1374020887728431E-2</v>
      </c>
      <c r="Z71" s="2">
        <v>6.3E-2</v>
      </c>
      <c r="AA71" s="10">
        <v>3.9E-2</v>
      </c>
      <c r="AB71" s="10">
        <v>2.4E-2</v>
      </c>
      <c r="AC71" s="2">
        <v>5.4300000000000001E-2</v>
      </c>
      <c r="AD71" s="48">
        <v>-2.5999999999999999E-2</v>
      </c>
      <c r="AE71" s="2">
        <v>4.6300000000000001E-2</v>
      </c>
      <c r="AF71" s="2">
        <v>-1.55E-2</v>
      </c>
    </row>
    <row r="72" spans="1:32" x14ac:dyDescent="0.25">
      <c r="A72" s="1">
        <v>46082</v>
      </c>
      <c r="B72" s="2">
        <v>-4.0000000000000001E-3</v>
      </c>
      <c r="C72" s="2">
        <v>2.0899999999999998E-2</v>
      </c>
      <c r="D72" s="2">
        <v>4.4900000000000002E-2</v>
      </c>
      <c r="E72" s="2">
        <v>1.8100000000000002E-2</v>
      </c>
      <c r="F72" s="2">
        <v>6.9699999999999998E-2</v>
      </c>
      <c r="G72" s="2">
        <v>-2.299E-2</v>
      </c>
      <c r="H72" s="2">
        <v>-5.5300000000000002E-2</v>
      </c>
      <c r="I72" s="2">
        <v>-4.7600000000000003E-2</v>
      </c>
      <c r="J72" s="2">
        <v>-5.5199999999999999E-2</v>
      </c>
      <c r="K72" s="2">
        <v>2.7699999999999999E-2</v>
      </c>
      <c r="L72" s="2">
        <v>4.4999999999999997E-3</v>
      </c>
      <c r="M72" s="2">
        <v>-2.07E-2</v>
      </c>
      <c r="N72" s="2">
        <v>-7.2999999999999995E-2</v>
      </c>
      <c r="O72" s="2">
        <v>-3.15E-2</v>
      </c>
      <c r="P72" s="2">
        <v>-5.21E-2</v>
      </c>
      <c r="Q72" s="2">
        <v>-7.17E-2</v>
      </c>
      <c r="R72" s="2">
        <v>-5.1000000000000004E-3</v>
      </c>
      <c r="S72" s="2">
        <v>-2.4E-2</v>
      </c>
      <c r="V72" s="10">
        <v>-4.158691547423491E-2</v>
      </c>
      <c r="W72" s="10">
        <v>-4.078406127076243E-2</v>
      </c>
      <c r="X72" s="10">
        <v>-4.1295834816660736E-2</v>
      </c>
      <c r="Y72" s="10">
        <v>-4.3566961261559303E-2</v>
      </c>
      <c r="Z72" s="2">
        <v>-7.0000000000000001E-3</v>
      </c>
      <c r="AA72" s="10">
        <v>-7.3999999999999996E-2</v>
      </c>
      <c r="AB72" s="10">
        <v>-5.7000000000000002E-2</v>
      </c>
      <c r="AC72" s="10">
        <v>-9.4E-2</v>
      </c>
      <c r="AD72" s="10">
        <v>-0.109</v>
      </c>
      <c r="AE72" s="2">
        <v>-5.2999999999999999E-2</v>
      </c>
      <c r="AF72" s="2">
        <v>-4.9299999999999997E-2</v>
      </c>
    </row>
    <row r="73" spans="1:32" x14ac:dyDescent="0.25">
      <c r="A73" s="1">
        <v>46113</v>
      </c>
      <c r="B73" s="2">
        <v>-1.37E-2</v>
      </c>
      <c r="C73" s="2">
        <v>0.1203</v>
      </c>
      <c r="D73" s="2">
        <v>3.8399999999999997E-2</v>
      </c>
      <c r="E73" s="2">
        <v>0.1187</v>
      </c>
      <c r="F73" s="2">
        <v>7.2999999999999995E-2</v>
      </c>
      <c r="G73" s="2">
        <v>1.8329999999999999E-2</v>
      </c>
      <c r="H73" s="2">
        <v>-1.0200000000000001E-2</v>
      </c>
      <c r="I73" s="2">
        <v>6.5299999999999997E-2</v>
      </c>
      <c r="J73" s="2">
        <v>7.1300000000000002E-2</v>
      </c>
      <c r="M73" s="2">
        <v>7.4000000000000003E-3</v>
      </c>
      <c r="N73" s="2">
        <v>2.07E-2</v>
      </c>
      <c r="O73" s="2">
        <v>4.4000000000000003E-3</v>
      </c>
      <c r="P73" s="2">
        <v>2.0500000000000001E-2</v>
      </c>
      <c r="Q73" s="2">
        <v>5.7200000000000001E-2</v>
      </c>
      <c r="S73" s="2">
        <v>2.1499999999999998E-2</v>
      </c>
      <c r="V73" s="2">
        <v>6.8743493978708478E-2</v>
      </c>
      <c r="W73" s="2">
        <v>6.9412711023820212E-2</v>
      </c>
      <c r="X73" s="2">
        <v>5.9275521405049394E-2</v>
      </c>
      <c r="Y73" s="2">
        <v>2.4509061336437495E-2</v>
      </c>
      <c r="Z73" s="2">
        <v>1.17E-2</v>
      </c>
      <c r="AA73" s="10">
        <v>5.6599999999999998E-2</v>
      </c>
      <c r="AB73" s="10">
        <v>7.7799999999999994E-2</v>
      </c>
      <c r="AC73" s="2">
        <v>-1.6400000000000001E-2</v>
      </c>
      <c r="AD73" s="10">
        <v>0.10199999999999999</v>
      </c>
      <c r="AE73" s="2">
        <v>0.1147</v>
      </c>
      <c r="AF73" s="2">
        <v>0.16550000000000001</v>
      </c>
    </row>
  </sheetData>
  <conditionalFormatting sqref="V1:AB1048576 AC72 AD72:AD73 AC1:AF1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AC34:AF73">
    <cfRule type="cellIs" dxfId="0" priority="2" operator="greaterThan">
      <formula>0</formula>
    </cfRule>
    <cfRule type="cellIs" dxfId="1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054D5-CB3D-46AE-A251-C5982D963EE2}">
  <dimension ref="A1:J71"/>
  <sheetViews>
    <sheetView tabSelected="1" workbookViewId="0">
      <pane ySplit="1" topLeftCell="A14" activePane="bottomLeft" state="frozen"/>
      <selection pane="bottomLeft" activeCell="O39" sqref="O39"/>
    </sheetView>
  </sheetViews>
  <sheetFormatPr defaultRowHeight="15" x14ac:dyDescent="0.25"/>
  <cols>
    <col min="1" max="1" width="10.42578125" bestFit="1" customWidth="1"/>
    <col min="2" max="2" width="14.5703125" bestFit="1" customWidth="1"/>
    <col min="3" max="3" width="23.140625" bestFit="1" customWidth="1"/>
    <col min="4" max="4" width="9.140625" style="49"/>
    <col min="5" max="5" width="12" style="49" bestFit="1" customWidth="1"/>
    <col min="6" max="6" width="12.7109375" style="49" bestFit="1" customWidth="1"/>
    <col min="7" max="7" width="14" bestFit="1" customWidth="1"/>
    <col min="8" max="8" width="14.7109375" bestFit="1" customWidth="1"/>
    <col min="9" max="9" width="9.140625" style="49"/>
    <col min="10" max="10" width="12.5703125" style="6" customWidth="1"/>
  </cols>
  <sheetData>
    <row r="1" spans="1:10" x14ac:dyDescent="0.25">
      <c r="A1" t="s">
        <v>0</v>
      </c>
      <c r="B1" t="s">
        <v>7</v>
      </c>
      <c r="C1" t="s">
        <v>14</v>
      </c>
      <c r="D1" s="49" t="s">
        <v>8</v>
      </c>
      <c r="E1" s="49" t="s">
        <v>120</v>
      </c>
      <c r="F1" s="49" t="s">
        <v>50</v>
      </c>
      <c r="G1" t="s">
        <v>121</v>
      </c>
      <c r="H1" t="s">
        <v>122</v>
      </c>
      <c r="I1" s="49" t="s">
        <v>123</v>
      </c>
      <c r="J1" s="6" t="s">
        <v>128</v>
      </c>
    </row>
    <row r="2" spans="1:10" x14ac:dyDescent="0.25">
      <c r="A2" s="5">
        <v>46022</v>
      </c>
      <c r="B2" t="s">
        <v>13</v>
      </c>
      <c r="C2" t="s">
        <v>32</v>
      </c>
      <c r="D2" s="52">
        <v>0.23454462300000001</v>
      </c>
      <c r="E2" s="49">
        <v>81249689.420000002</v>
      </c>
    </row>
    <row r="3" spans="1:10" x14ac:dyDescent="0.25">
      <c r="A3" s="5">
        <v>46022</v>
      </c>
      <c r="B3" t="s">
        <v>13</v>
      </c>
      <c r="C3" t="s">
        <v>9</v>
      </c>
      <c r="D3" s="52">
        <v>0.25540432800000001</v>
      </c>
      <c r="E3" s="49">
        <v>88475796.480000004</v>
      </c>
    </row>
    <row r="4" spans="1:10" x14ac:dyDescent="0.25">
      <c r="A4" s="5">
        <v>46022</v>
      </c>
      <c r="B4" t="s">
        <v>13</v>
      </c>
      <c r="C4" t="s">
        <v>3</v>
      </c>
      <c r="D4" s="52">
        <v>0.29631911399999999</v>
      </c>
      <c r="E4" s="49">
        <v>102649277</v>
      </c>
    </row>
    <row r="5" spans="1:10" x14ac:dyDescent="0.25">
      <c r="A5" s="5">
        <v>46022</v>
      </c>
      <c r="B5" t="s">
        <v>13</v>
      </c>
      <c r="C5" t="s">
        <v>5</v>
      </c>
      <c r="D5" s="52">
        <v>0.153672053</v>
      </c>
      <c r="E5" s="49">
        <v>53234248</v>
      </c>
    </row>
    <row r="6" spans="1:10" x14ac:dyDescent="0.25">
      <c r="A6" s="5">
        <v>46022</v>
      </c>
      <c r="B6" t="s">
        <v>13</v>
      </c>
      <c r="C6" t="s">
        <v>10</v>
      </c>
      <c r="D6" s="52">
        <v>4.5376728999999998E-2</v>
      </c>
      <c r="E6" s="49">
        <v>15719163</v>
      </c>
    </row>
    <row r="7" spans="1:10" x14ac:dyDescent="0.25">
      <c r="A7" s="5">
        <v>46022</v>
      </c>
      <c r="B7" t="s">
        <v>13</v>
      </c>
      <c r="C7" t="s">
        <v>12</v>
      </c>
      <c r="D7" s="52">
        <v>1.4683152999999999E-2</v>
      </c>
      <c r="E7" s="49">
        <v>5086459</v>
      </c>
    </row>
    <row r="8" spans="1:10" x14ac:dyDescent="0.25">
      <c r="A8" s="5"/>
    </row>
    <row r="9" spans="1:10" x14ac:dyDescent="0.25">
      <c r="A9" s="5">
        <v>45991</v>
      </c>
      <c r="B9" t="s">
        <v>13</v>
      </c>
      <c r="C9" t="s">
        <v>32</v>
      </c>
      <c r="D9" s="49">
        <v>0.35415268799999999</v>
      </c>
      <c r="E9" s="49">
        <v>107018152.40000001</v>
      </c>
    </row>
    <row r="10" spans="1:10" x14ac:dyDescent="0.25">
      <c r="A10" s="5">
        <v>45991</v>
      </c>
      <c r="B10" t="s">
        <v>13</v>
      </c>
      <c r="C10" t="s">
        <v>9</v>
      </c>
      <c r="D10" s="49">
        <v>0.21312859300000001</v>
      </c>
      <c r="E10" s="49">
        <v>88600129.079999998</v>
      </c>
    </row>
    <row r="11" spans="1:10" x14ac:dyDescent="0.25">
      <c r="A11" s="5">
        <v>45991</v>
      </c>
      <c r="B11" t="s">
        <v>13</v>
      </c>
      <c r="C11" t="s">
        <v>3</v>
      </c>
      <c r="D11" s="49">
        <v>0.21598367099999999</v>
      </c>
      <c r="E11" s="49">
        <v>75275093.390000001</v>
      </c>
    </row>
    <row r="12" spans="1:10" x14ac:dyDescent="0.25">
      <c r="A12" s="5">
        <v>45991</v>
      </c>
      <c r="B12" t="s">
        <v>13</v>
      </c>
      <c r="C12" t="s">
        <v>5</v>
      </c>
      <c r="D12" s="49">
        <v>0.15154704399999999</v>
      </c>
      <c r="E12" s="49">
        <v>53064064.140000001</v>
      </c>
    </row>
    <row r="13" spans="1:10" x14ac:dyDescent="0.25">
      <c r="A13" s="5">
        <v>45991</v>
      </c>
      <c r="B13" t="s">
        <v>13</v>
      </c>
      <c r="C13" t="s">
        <v>10</v>
      </c>
      <c r="D13" s="49">
        <v>5.0418042000000003E-2</v>
      </c>
      <c r="E13" s="49">
        <v>18120044.399999999</v>
      </c>
    </row>
    <row r="14" spans="1:10" x14ac:dyDescent="0.25">
      <c r="A14" s="5">
        <v>45991</v>
      </c>
      <c r="B14" t="s">
        <v>13</v>
      </c>
      <c r="C14" t="s">
        <v>12</v>
      </c>
      <c r="D14" s="49">
        <v>1.4769963000000001E-2</v>
      </c>
      <c r="E14" s="49">
        <v>5108229.12</v>
      </c>
    </row>
    <row r="16" spans="1:10" x14ac:dyDescent="0.25">
      <c r="A16" s="5">
        <v>46053</v>
      </c>
      <c r="B16" t="s">
        <v>13</v>
      </c>
      <c r="C16" t="s">
        <v>32</v>
      </c>
      <c r="D16" s="53">
        <v>0.23866168099999999</v>
      </c>
      <c r="E16" s="49">
        <v>83346685.079999998</v>
      </c>
      <c r="F16" s="51">
        <v>-207205.13</v>
      </c>
      <c r="G16" s="14">
        <v>-6.9400000000000003E-2</v>
      </c>
      <c r="H16" s="14">
        <v>-2.5000000000000001E-3</v>
      </c>
      <c r="I16" s="49">
        <v>-5.6999999999999998E-4</v>
      </c>
      <c r="J16" s="6">
        <v>130000</v>
      </c>
    </row>
    <row r="17" spans="1:10" x14ac:dyDescent="0.25">
      <c r="A17" s="5">
        <v>46053</v>
      </c>
      <c r="B17" t="s">
        <v>13</v>
      </c>
      <c r="C17" t="s">
        <v>9</v>
      </c>
      <c r="D17" s="53">
        <v>0.25155728199999999</v>
      </c>
      <c r="E17" s="49">
        <v>87850154.519999996</v>
      </c>
      <c r="F17" s="51">
        <v>396503.23</v>
      </c>
      <c r="G17" s="14">
        <v>0.13270000000000001</v>
      </c>
      <c r="H17" s="14">
        <v>4.4999999999999997E-3</v>
      </c>
      <c r="I17" s="49">
        <v>1.09E-3</v>
      </c>
    </row>
    <row r="18" spans="1:10" x14ac:dyDescent="0.25">
      <c r="A18" s="5">
        <v>46053</v>
      </c>
      <c r="B18" t="s">
        <v>13</v>
      </c>
      <c r="C18" t="s">
        <v>3</v>
      </c>
      <c r="D18" s="53">
        <v>0.29310178100000001</v>
      </c>
      <c r="E18" s="49">
        <v>102358542.8</v>
      </c>
      <c r="F18" s="51">
        <v>894933.21</v>
      </c>
      <c r="G18" s="14">
        <v>0.29949999999999999</v>
      </c>
      <c r="H18" s="14">
        <v>8.6999999999999994E-3</v>
      </c>
      <c r="I18" s="49">
        <v>2.47E-3</v>
      </c>
    </row>
    <row r="19" spans="1:10" x14ac:dyDescent="0.25">
      <c r="A19" s="5">
        <v>46053</v>
      </c>
      <c r="B19" t="s">
        <v>13</v>
      </c>
      <c r="C19" t="s">
        <v>5</v>
      </c>
      <c r="D19" s="53">
        <v>0.152346589</v>
      </c>
      <c r="E19" s="49">
        <v>53203275.5</v>
      </c>
      <c r="F19" s="49">
        <v>745432.5</v>
      </c>
      <c r="G19" s="14">
        <v>0.2495</v>
      </c>
      <c r="H19" s="14">
        <v>1.4E-2</v>
      </c>
      <c r="I19" s="49">
        <v>2.0799999999999998E-3</v>
      </c>
    </row>
    <row r="20" spans="1:10" x14ac:dyDescent="0.25">
      <c r="A20" s="5">
        <v>46053</v>
      </c>
      <c r="B20" t="s">
        <v>13</v>
      </c>
      <c r="C20" t="s">
        <v>10</v>
      </c>
      <c r="D20" s="53">
        <v>4.9379030999999997E-2</v>
      </c>
      <c r="E20" s="49">
        <v>17244404.309999999</v>
      </c>
      <c r="F20" s="49">
        <v>1257197.02</v>
      </c>
      <c r="G20" s="14">
        <v>0.42080000000000001</v>
      </c>
      <c r="H20" s="14">
        <v>7.2900000000000006E-2</v>
      </c>
      <c r="I20" s="49">
        <v>3.47E-3</v>
      </c>
    </row>
    <row r="21" spans="1:10" x14ac:dyDescent="0.25">
      <c r="A21" s="5">
        <v>46053</v>
      </c>
      <c r="B21" t="s">
        <v>13</v>
      </c>
      <c r="C21" t="s">
        <v>12</v>
      </c>
      <c r="D21" s="53">
        <v>1.4953637000000001E-2</v>
      </c>
      <c r="E21" s="49">
        <v>5222187.6100000003</v>
      </c>
      <c r="F21" s="49">
        <v>-99079.7</v>
      </c>
      <c r="G21" s="14">
        <v>-3.32E-2</v>
      </c>
      <c r="H21" s="14">
        <v>-1.9E-2</v>
      </c>
      <c r="I21" s="49">
        <v>-2.7E-4</v>
      </c>
    </row>
    <row r="22" spans="1:10" x14ac:dyDescent="0.25">
      <c r="A22" s="5"/>
      <c r="D22" s="53"/>
    </row>
    <row r="23" spans="1:10" x14ac:dyDescent="0.25">
      <c r="A23" s="5">
        <v>46081</v>
      </c>
      <c r="B23" t="s">
        <v>13</v>
      </c>
      <c r="C23" t="s">
        <v>32</v>
      </c>
      <c r="D23" s="50">
        <v>0.25087999999999999</v>
      </c>
      <c r="E23" s="49">
        <v>89243299.219999999</v>
      </c>
      <c r="F23" s="49">
        <v>125166.48</v>
      </c>
      <c r="G23" s="7">
        <v>1.38E-2</v>
      </c>
      <c r="H23" s="14">
        <v>1.4E-3</v>
      </c>
      <c r="I23" s="50">
        <v>3.5E-4</v>
      </c>
      <c r="J23" s="6">
        <v>270000</v>
      </c>
    </row>
    <row r="24" spans="1:10" x14ac:dyDescent="0.25">
      <c r="A24" s="5">
        <v>46081</v>
      </c>
      <c r="B24" t="s">
        <v>13</v>
      </c>
      <c r="C24" t="s">
        <v>9</v>
      </c>
      <c r="D24" s="50">
        <v>0.24568000000000001</v>
      </c>
      <c r="E24" s="49">
        <v>87393349.010000005</v>
      </c>
      <c r="F24" s="49">
        <v>1044797.13</v>
      </c>
      <c r="G24" s="7">
        <v>0.1154</v>
      </c>
      <c r="H24" s="14">
        <v>1.2E-2</v>
      </c>
      <c r="I24" s="50">
        <v>2.9299999999999999E-3</v>
      </c>
    </row>
    <row r="25" spans="1:10" x14ac:dyDescent="0.25">
      <c r="A25" s="5">
        <v>46081</v>
      </c>
      <c r="B25" t="s">
        <v>13</v>
      </c>
      <c r="C25" t="s">
        <v>3</v>
      </c>
      <c r="D25" s="50">
        <v>0.28308</v>
      </c>
      <c r="E25" s="49">
        <v>100700450.8</v>
      </c>
      <c r="F25" s="49">
        <v>4902763</v>
      </c>
      <c r="G25" s="7">
        <v>0.56299999999999994</v>
      </c>
      <c r="H25" s="14">
        <v>4.7100000000000003E-2</v>
      </c>
      <c r="I25" s="50">
        <v>1.43E-2</v>
      </c>
    </row>
    <row r="26" spans="1:10" x14ac:dyDescent="0.25">
      <c r="A26" s="5">
        <v>46081</v>
      </c>
      <c r="B26" t="s">
        <v>13</v>
      </c>
      <c r="C26" t="s">
        <v>5</v>
      </c>
      <c r="D26" s="50">
        <v>0.15359999999999999</v>
      </c>
      <c r="E26" s="49">
        <v>54639526</v>
      </c>
      <c r="F26" s="49">
        <v>990531.88</v>
      </c>
      <c r="G26" s="7">
        <v>0.1094</v>
      </c>
      <c r="H26" s="14">
        <v>1.5699999999999999E-2</v>
      </c>
      <c r="I26" s="50">
        <v>2.7799999999999999E-3</v>
      </c>
    </row>
    <row r="27" spans="1:10" x14ac:dyDescent="0.25">
      <c r="A27" s="5">
        <v>46081</v>
      </c>
      <c r="B27" t="s">
        <v>13</v>
      </c>
      <c r="C27" t="s">
        <v>10</v>
      </c>
      <c r="D27" s="50">
        <v>5.2240000000000002E-2</v>
      </c>
      <c r="E27" s="49">
        <v>18584573.27</v>
      </c>
      <c r="F27" s="49">
        <v>2147775</v>
      </c>
      <c r="G27" s="7">
        <v>0.2157</v>
      </c>
      <c r="H27" s="14">
        <v>0.14069999999999999</v>
      </c>
      <c r="I27" s="50">
        <v>5.4799999999999996E-3</v>
      </c>
    </row>
    <row r="28" spans="1:10" x14ac:dyDescent="0.25">
      <c r="A28" s="5">
        <v>46081</v>
      </c>
      <c r="B28" t="s">
        <v>13</v>
      </c>
      <c r="C28" t="s">
        <v>12</v>
      </c>
      <c r="D28" s="50">
        <v>1.452E-2</v>
      </c>
      <c r="E28" s="49">
        <v>5164580</v>
      </c>
      <c r="F28" s="49">
        <v>-156687</v>
      </c>
      <c r="G28" s="7">
        <v>-1.7299999999999999E-2</v>
      </c>
      <c r="H28" s="14">
        <v>-3.0300000000000001E-2</v>
      </c>
      <c r="I28" s="50">
        <v>-4.4000000000000002E-4</v>
      </c>
    </row>
    <row r="30" spans="1:10" x14ac:dyDescent="0.25">
      <c r="A30" s="5">
        <v>46112</v>
      </c>
      <c r="B30" t="s">
        <v>13</v>
      </c>
      <c r="C30" t="s">
        <v>32</v>
      </c>
      <c r="D30" s="50">
        <v>0.23799000000000001</v>
      </c>
      <c r="E30" s="49">
        <v>82538435.420000002</v>
      </c>
      <c r="F30" s="49">
        <v>1120946.5</v>
      </c>
      <c r="G30" s="7">
        <v>0.74250000000000005</v>
      </c>
      <c r="H30" s="7">
        <v>9.2999999999999992E-3</v>
      </c>
      <c r="I30" s="50">
        <v>1.34E-3</v>
      </c>
      <c r="J30" s="6">
        <v>410000</v>
      </c>
    </row>
    <row r="31" spans="1:10" x14ac:dyDescent="0.25">
      <c r="A31" s="5">
        <v>46112</v>
      </c>
      <c r="B31" t="s">
        <v>13</v>
      </c>
      <c r="C31" t="s">
        <v>9</v>
      </c>
      <c r="D31" s="50">
        <v>0.24632999999999999</v>
      </c>
      <c r="E31" s="49">
        <v>85429364.829999998</v>
      </c>
      <c r="F31" s="49">
        <v>-629863.02890000003</v>
      </c>
      <c r="G31" s="7">
        <v>-0.72929999999999995</v>
      </c>
      <c r="H31" s="7">
        <v>-8.8000000000000005E-3</v>
      </c>
      <c r="I31" s="50">
        <v>-1.31E-3</v>
      </c>
    </row>
    <row r="32" spans="1:10" x14ac:dyDescent="0.25">
      <c r="A32" s="5">
        <v>46112</v>
      </c>
      <c r="B32" t="s">
        <v>13</v>
      </c>
      <c r="C32" t="s">
        <v>3</v>
      </c>
      <c r="D32" s="50">
        <v>0.28487000000000001</v>
      </c>
      <c r="E32" s="49">
        <v>98794196.310000002</v>
      </c>
      <c r="F32" s="49">
        <v>-755630.86</v>
      </c>
      <c r="G32" s="7">
        <v>-0.6079</v>
      </c>
      <c r="H32" s="7">
        <v>-6.4000000000000003E-3</v>
      </c>
      <c r="I32" s="50">
        <v>-1.09E-3</v>
      </c>
    </row>
    <row r="33" spans="1:10" x14ac:dyDescent="0.25">
      <c r="A33" s="5">
        <v>46112</v>
      </c>
      <c r="B33" t="s">
        <v>13</v>
      </c>
      <c r="C33" t="s">
        <v>5</v>
      </c>
      <c r="D33" s="50">
        <v>0.16211</v>
      </c>
      <c r="E33" s="49">
        <v>56221255</v>
      </c>
      <c r="F33" s="49">
        <v>658270.13890000002</v>
      </c>
      <c r="G33" s="7">
        <v>0.66620000000000001</v>
      </c>
      <c r="H33" s="7">
        <v>1.23E-2</v>
      </c>
      <c r="I33" s="50">
        <v>1.1999999999999999E-3</v>
      </c>
    </row>
    <row r="34" spans="1:10" x14ac:dyDescent="0.25">
      <c r="A34" s="5">
        <v>46112</v>
      </c>
      <c r="B34" t="s">
        <v>13</v>
      </c>
      <c r="C34" t="s">
        <v>10</v>
      </c>
      <c r="D34" s="50">
        <v>5.3809999999999997E-2</v>
      </c>
      <c r="E34" s="49">
        <v>18662125.239999998</v>
      </c>
      <c r="F34" s="49">
        <v>769287.48</v>
      </c>
      <c r="G34" s="7">
        <v>1.0818000000000001</v>
      </c>
      <c r="H34" s="7">
        <v>6.0100000000000001E-2</v>
      </c>
      <c r="I34" s="50">
        <v>1.9499999999999999E-3</v>
      </c>
    </row>
    <row r="35" spans="1:10" x14ac:dyDescent="0.25">
      <c r="A35" s="5">
        <v>46112</v>
      </c>
      <c r="B35" t="s">
        <v>13</v>
      </c>
      <c r="C35" t="s">
        <v>12</v>
      </c>
      <c r="D35" s="50">
        <v>1.489E-2</v>
      </c>
      <c r="E35" s="49">
        <v>5162416.71</v>
      </c>
      <c r="F35" s="49">
        <v>-158850.59</v>
      </c>
      <c r="G35" s="7">
        <v>-0.15329999999999999</v>
      </c>
      <c r="H35" s="7">
        <v>-3.0800000000000001E-2</v>
      </c>
      <c r="I35" s="50">
        <v>-2.7999999999999998E-4</v>
      </c>
    </row>
    <row r="37" spans="1:10" x14ac:dyDescent="0.25">
      <c r="A37" s="5">
        <v>46142</v>
      </c>
      <c r="B37" t="s">
        <v>13</v>
      </c>
      <c r="C37" t="s">
        <v>32</v>
      </c>
      <c r="D37" s="50">
        <v>0.22435366600000001</v>
      </c>
      <c r="E37" s="49">
        <v>79156474</v>
      </c>
      <c r="F37" s="51">
        <v>128177.08</v>
      </c>
      <c r="G37" s="7">
        <v>1.7000000000000001E-2</v>
      </c>
      <c r="H37" s="7">
        <v>1.6000000000000001E-3</v>
      </c>
      <c r="I37" s="50">
        <v>3.4000000000000002E-4</v>
      </c>
      <c r="J37" s="6">
        <v>550000</v>
      </c>
    </row>
    <row r="38" spans="1:10" x14ac:dyDescent="0.25">
      <c r="A38" s="5">
        <v>46142</v>
      </c>
      <c r="B38" t="s">
        <v>13</v>
      </c>
      <c r="C38" t="s">
        <v>9</v>
      </c>
      <c r="D38" s="50">
        <v>0.24355576600000001</v>
      </c>
      <c r="E38" s="49">
        <v>85931359.790000007</v>
      </c>
      <c r="F38" s="51">
        <v>-104473.4</v>
      </c>
      <c r="G38" s="7">
        <v>-1.3899999999999999E-2</v>
      </c>
      <c r="H38" s="7">
        <v>-1.1999999999999999E-3</v>
      </c>
      <c r="I38" s="50">
        <v>-2.7999999999999998E-4</v>
      </c>
    </row>
    <row r="39" spans="1:10" x14ac:dyDescent="0.25">
      <c r="A39" s="5">
        <v>46142</v>
      </c>
      <c r="B39" t="s">
        <v>13</v>
      </c>
      <c r="C39" t="s">
        <v>3</v>
      </c>
      <c r="D39" s="50">
        <v>0.29303138299999998</v>
      </c>
      <c r="E39" s="49">
        <v>103387350.2</v>
      </c>
      <c r="F39" s="51">
        <v>6274091</v>
      </c>
      <c r="G39" s="7">
        <v>0.83350000000000002</v>
      </c>
      <c r="H39" s="7">
        <v>5.8099999999999999E-2</v>
      </c>
      <c r="I39" s="50">
        <v>1.6840000000000001E-2</v>
      </c>
    </row>
    <row r="40" spans="1:10" x14ac:dyDescent="0.25">
      <c r="A40" s="5">
        <v>46142</v>
      </c>
      <c r="B40" t="s">
        <v>13</v>
      </c>
      <c r="C40" t="s">
        <v>5</v>
      </c>
      <c r="D40" s="50">
        <v>0.16577990300000001</v>
      </c>
      <c r="E40" s="49">
        <v>58490475.439999998</v>
      </c>
      <c r="F40" s="49">
        <v>476065.47</v>
      </c>
      <c r="G40" s="7">
        <v>6.3200000000000006E-2</v>
      </c>
      <c r="H40" s="7">
        <v>7.3000000000000001E-3</v>
      </c>
      <c r="I40" s="50">
        <v>1.2800000000000001E-3</v>
      </c>
    </row>
    <row r="41" spans="1:10" x14ac:dyDescent="0.25">
      <c r="A41" s="5">
        <v>46142</v>
      </c>
      <c r="B41" t="s">
        <v>13</v>
      </c>
      <c r="C41" t="s">
        <v>10</v>
      </c>
      <c r="D41" s="50">
        <v>5.8631231999999998E-2</v>
      </c>
      <c r="E41" s="49">
        <v>20686274.84</v>
      </c>
      <c r="F41" s="49">
        <v>906490.51</v>
      </c>
      <c r="G41" s="7">
        <v>0.12039999999999999</v>
      </c>
      <c r="H41" s="7">
        <v>5.6800000000000003E-2</v>
      </c>
      <c r="I41" s="50">
        <v>2.4299999999999999E-3</v>
      </c>
    </row>
    <row r="42" spans="1:10" x14ac:dyDescent="0.25">
      <c r="A42" s="5">
        <v>46142</v>
      </c>
      <c r="B42" t="s">
        <v>13</v>
      </c>
      <c r="C42" t="s">
        <v>12</v>
      </c>
      <c r="D42" s="50">
        <v>1.4648048E-2</v>
      </c>
      <c r="E42" s="49">
        <v>5168125</v>
      </c>
      <c r="F42" s="49">
        <v>-153142.15</v>
      </c>
      <c r="G42" s="7">
        <v>-2.0299999999999999E-2</v>
      </c>
      <c r="H42" s="7">
        <v>-2.9600000000000001E-2</v>
      </c>
      <c r="I42" s="50">
        <v>-4.0999999999999999E-4</v>
      </c>
    </row>
    <row r="57" spans="10:10" x14ac:dyDescent="0.25">
      <c r="J57" s="44"/>
    </row>
    <row r="70" spans="10:10" x14ac:dyDescent="0.25">
      <c r="J70" s="6">
        <v>130000</v>
      </c>
    </row>
    <row r="71" spans="10:10" x14ac:dyDescent="0.25">
      <c r="J71" s="6">
        <v>140000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80BB3-3272-4D81-AF65-A7CD0438F538}">
  <dimension ref="A1:D87"/>
  <sheetViews>
    <sheetView topLeftCell="A57" workbookViewId="0">
      <selection activeCell="K71" sqref="K71"/>
    </sheetView>
  </sheetViews>
  <sheetFormatPr defaultRowHeight="15" x14ac:dyDescent="0.25"/>
  <cols>
    <col min="1" max="1" width="10.42578125" bestFit="1" customWidth="1"/>
    <col min="2" max="2" width="16" bestFit="1" customWidth="1"/>
    <col min="3" max="3" width="23.140625" bestFit="1" customWidth="1"/>
    <col min="4" max="4" width="11.28515625" bestFit="1" customWidth="1"/>
  </cols>
  <sheetData>
    <row r="1" spans="1:4" x14ac:dyDescent="0.25">
      <c r="A1" t="s">
        <v>0</v>
      </c>
      <c r="B1" t="s">
        <v>7</v>
      </c>
      <c r="C1" t="s">
        <v>14</v>
      </c>
      <c r="D1" t="s">
        <v>8</v>
      </c>
    </row>
    <row r="2" spans="1:4" x14ac:dyDescent="0.25">
      <c r="A2" s="5">
        <v>46022</v>
      </c>
      <c r="B2" t="s">
        <v>13</v>
      </c>
      <c r="C2" t="s">
        <v>32</v>
      </c>
      <c r="D2" s="6">
        <v>2.53E-2</v>
      </c>
    </row>
    <row r="3" spans="1:4" x14ac:dyDescent="0.25">
      <c r="A3" s="5">
        <v>46022</v>
      </c>
      <c r="B3" t="s">
        <v>13</v>
      </c>
      <c r="C3" t="s">
        <v>9</v>
      </c>
      <c r="D3" s="6">
        <v>0.1283</v>
      </c>
    </row>
    <row r="4" spans="1:4" x14ac:dyDescent="0.25">
      <c r="A4" s="5">
        <v>46022</v>
      </c>
      <c r="B4" t="s">
        <v>13</v>
      </c>
      <c r="C4" t="s">
        <v>3</v>
      </c>
      <c r="D4" s="6">
        <v>0.2026</v>
      </c>
    </row>
    <row r="5" spans="1:4" x14ac:dyDescent="0.25">
      <c r="A5" s="5">
        <v>46022</v>
      </c>
      <c r="B5" t="s">
        <v>13</v>
      </c>
      <c r="C5" t="s">
        <v>11</v>
      </c>
      <c r="D5" s="6">
        <v>0.46360000000000001</v>
      </c>
    </row>
    <row r="6" spans="1:4" x14ac:dyDescent="0.25">
      <c r="A6" s="5">
        <v>46022</v>
      </c>
      <c r="B6" t="s">
        <v>13</v>
      </c>
      <c r="C6" t="s">
        <v>10</v>
      </c>
      <c r="D6" s="6">
        <v>0.17549999999999999</v>
      </c>
    </row>
    <row r="7" spans="1:4" x14ac:dyDescent="0.25">
      <c r="A7" s="5">
        <v>46022</v>
      </c>
      <c r="B7" t="s">
        <v>13</v>
      </c>
      <c r="C7" t="s">
        <v>12</v>
      </c>
      <c r="D7" s="6">
        <v>4.7000000000000002E-3</v>
      </c>
    </row>
    <row r="11" spans="1:4" x14ac:dyDescent="0.25">
      <c r="A11" s="5">
        <v>46022</v>
      </c>
      <c r="B11" t="s">
        <v>51</v>
      </c>
      <c r="C11" t="s">
        <v>24</v>
      </c>
      <c r="D11" s="6">
        <v>1.3422236409999999</v>
      </c>
    </row>
    <row r="12" spans="1:4" x14ac:dyDescent="0.25">
      <c r="A12" s="5">
        <v>46022</v>
      </c>
      <c r="B12" t="s">
        <v>51</v>
      </c>
      <c r="C12" t="s">
        <v>25</v>
      </c>
      <c r="D12" s="6">
        <v>8.2951859999999995E-3</v>
      </c>
    </row>
    <row r="13" spans="1:4" x14ac:dyDescent="0.25">
      <c r="A13" s="5">
        <v>46022</v>
      </c>
      <c r="B13" t="s">
        <v>51</v>
      </c>
      <c r="C13" t="s">
        <v>26</v>
      </c>
      <c r="D13" s="6">
        <v>9.0273676999999997E-2</v>
      </c>
    </row>
    <row r="14" spans="1:4" x14ac:dyDescent="0.25">
      <c r="A14" s="5">
        <v>46022</v>
      </c>
      <c r="B14" t="s">
        <v>51</v>
      </c>
      <c r="C14" t="s">
        <v>27</v>
      </c>
      <c r="D14" s="6">
        <v>-0.27323962899999998</v>
      </c>
    </row>
    <row r="15" spans="1:4" x14ac:dyDescent="0.25">
      <c r="A15" s="5">
        <v>46022</v>
      </c>
      <c r="B15" t="s">
        <v>51</v>
      </c>
      <c r="C15" t="s">
        <v>52</v>
      </c>
      <c r="D15" s="6">
        <v>-0.16755287399999999</v>
      </c>
    </row>
    <row r="16" spans="1:4" x14ac:dyDescent="0.25">
      <c r="A16" s="5"/>
    </row>
    <row r="19" spans="1:4" x14ac:dyDescent="0.25">
      <c r="A19" s="5">
        <v>46022</v>
      </c>
      <c r="B19" t="s">
        <v>53</v>
      </c>
      <c r="C19" t="s">
        <v>24</v>
      </c>
      <c r="D19" s="6">
        <v>1.1309541409999999</v>
      </c>
    </row>
    <row r="20" spans="1:4" x14ac:dyDescent="0.25">
      <c r="A20" s="5">
        <v>46022</v>
      </c>
      <c r="B20" t="s">
        <v>53</v>
      </c>
      <c r="C20" t="s">
        <v>25</v>
      </c>
      <c r="D20" s="6">
        <v>1.2860598000000001E-2</v>
      </c>
    </row>
    <row r="21" spans="1:4" x14ac:dyDescent="0.25">
      <c r="A21" s="5">
        <v>46022</v>
      </c>
      <c r="B21" t="s">
        <v>53</v>
      </c>
      <c r="C21" t="s">
        <v>26</v>
      </c>
      <c r="D21" s="6">
        <v>8.1122168999999994E-2</v>
      </c>
    </row>
    <row r="22" spans="1:4" x14ac:dyDescent="0.25">
      <c r="A22" s="5">
        <v>46022</v>
      </c>
      <c r="B22" t="s">
        <v>53</v>
      </c>
      <c r="C22" t="s">
        <v>27</v>
      </c>
      <c r="D22" s="6">
        <v>-0.17214953299999999</v>
      </c>
    </row>
    <row r="23" spans="1:4" x14ac:dyDescent="0.25">
      <c r="A23" s="5">
        <v>46022</v>
      </c>
      <c r="B23" t="s">
        <v>53</v>
      </c>
      <c r="C23" t="s">
        <v>52</v>
      </c>
      <c r="D23" s="6">
        <v>-5.2787373999999998E-2</v>
      </c>
    </row>
    <row r="28" spans="1:4" x14ac:dyDescent="0.25">
      <c r="A28" s="5">
        <v>46022</v>
      </c>
      <c r="B28" t="s">
        <v>10</v>
      </c>
      <c r="C28" s="8" t="s">
        <v>16</v>
      </c>
      <c r="D28" s="6">
        <v>-0.13567968549654397</v>
      </c>
    </row>
    <row r="29" spans="1:4" x14ac:dyDescent="0.25">
      <c r="A29" s="5">
        <v>46022</v>
      </c>
      <c r="B29" t="s">
        <v>10</v>
      </c>
      <c r="C29" s="8" t="s">
        <v>17</v>
      </c>
      <c r="D29" s="6">
        <v>-2.6168075672070634E-2</v>
      </c>
    </row>
    <row r="30" spans="1:4" x14ac:dyDescent="0.25">
      <c r="A30" s="5">
        <v>46022</v>
      </c>
      <c r="B30" t="s">
        <v>10</v>
      </c>
      <c r="C30" s="8" t="s">
        <v>18</v>
      </c>
      <c r="D30" s="6">
        <v>-0.10353863448830956</v>
      </c>
    </row>
    <row r="31" spans="1:4" x14ac:dyDescent="0.25">
      <c r="A31" s="5">
        <v>46022</v>
      </c>
      <c r="B31" t="s">
        <v>10</v>
      </c>
      <c r="C31" s="8" t="s">
        <v>19</v>
      </c>
      <c r="D31" s="6">
        <v>0.13407603556979555</v>
      </c>
    </row>
    <row r="32" spans="1:4" x14ac:dyDescent="0.25">
      <c r="A32" s="5">
        <v>46022</v>
      </c>
      <c r="B32" t="s">
        <v>10</v>
      </c>
      <c r="C32" s="8" t="s">
        <v>20</v>
      </c>
      <c r="D32" s="6">
        <v>-2.4524393862811914E-2</v>
      </c>
    </row>
    <row r="33" spans="1:4" x14ac:dyDescent="0.25">
      <c r="A33" s="5">
        <v>46022</v>
      </c>
      <c r="B33" t="s">
        <v>10</v>
      </c>
      <c r="C33" s="8" t="s">
        <v>21</v>
      </c>
      <c r="D33" s="6">
        <v>0.74829121457163295</v>
      </c>
    </row>
    <row r="34" spans="1:4" x14ac:dyDescent="0.25">
      <c r="A34" s="5">
        <v>46022</v>
      </c>
      <c r="B34" t="s">
        <v>10</v>
      </c>
      <c r="C34" s="8" t="s">
        <v>22</v>
      </c>
      <c r="D34" s="6">
        <v>-1.6141099398801602E-2</v>
      </c>
    </row>
    <row r="35" spans="1:4" x14ac:dyDescent="0.25">
      <c r="A35" s="5">
        <v>46022</v>
      </c>
      <c r="B35" t="s">
        <v>10</v>
      </c>
      <c r="C35" s="8" t="s">
        <v>23</v>
      </c>
      <c r="D35" s="6">
        <v>0.42368463877710927</v>
      </c>
    </row>
    <row r="38" spans="1:4" x14ac:dyDescent="0.25">
      <c r="A38" s="5">
        <v>46053</v>
      </c>
      <c r="B38" t="s">
        <v>13</v>
      </c>
      <c r="C38" t="s">
        <v>32</v>
      </c>
      <c r="D38" s="14">
        <v>-5.6999999999999998E-4</v>
      </c>
    </row>
    <row r="39" spans="1:4" x14ac:dyDescent="0.25">
      <c r="A39" s="5">
        <v>46053</v>
      </c>
      <c r="B39" t="s">
        <v>13</v>
      </c>
      <c r="C39" t="s">
        <v>9</v>
      </c>
      <c r="D39" s="14">
        <v>1.09E-3</v>
      </c>
    </row>
    <row r="40" spans="1:4" x14ac:dyDescent="0.25">
      <c r="A40" s="5">
        <v>46053</v>
      </c>
      <c r="B40" t="s">
        <v>13</v>
      </c>
      <c r="C40" t="s">
        <v>3</v>
      </c>
      <c r="D40" s="14">
        <v>2.47E-3</v>
      </c>
    </row>
    <row r="41" spans="1:4" x14ac:dyDescent="0.25">
      <c r="A41" s="5">
        <v>46053</v>
      </c>
      <c r="B41" t="s">
        <v>13</v>
      </c>
      <c r="C41" t="s">
        <v>11</v>
      </c>
      <c r="D41" s="14">
        <v>2.0799999999999998E-3</v>
      </c>
    </row>
    <row r="42" spans="1:4" x14ac:dyDescent="0.25">
      <c r="A42" s="5">
        <v>46053</v>
      </c>
      <c r="B42" t="s">
        <v>13</v>
      </c>
      <c r="C42" t="s">
        <v>10</v>
      </c>
      <c r="D42" s="14">
        <v>3.47E-3</v>
      </c>
    </row>
    <row r="43" spans="1:4" x14ac:dyDescent="0.25">
      <c r="A43" s="5">
        <v>46053</v>
      </c>
      <c r="B43" t="s">
        <v>13</v>
      </c>
      <c r="C43" t="s">
        <v>12</v>
      </c>
      <c r="D43" s="14">
        <v>-2.7E-4</v>
      </c>
    </row>
    <row r="47" spans="1:4" x14ac:dyDescent="0.25">
      <c r="A47" s="5">
        <v>46053</v>
      </c>
      <c r="B47" t="s">
        <v>10</v>
      </c>
      <c r="C47" s="8" t="s">
        <v>16</v>
      </c>
    </row>
    <row r="48" spans="1:4" x14ac:dyDescent="0.25">
      <c r="A48" s="5">
        <v>46053</v>
      </c>
      <c r="B48" t="s">
        <v>10</v>
      </c>
      <c r="C48" s="8" t="s">
        <v>17</v>
      </c>
    </row>
    <row r="49" spans="1:4" x14ac:dyDescent="0.25">
      <c r="A49" s="5">
        <v>46053</v>
      </c>
      <c r="B49" t="s">
        <v>10</v>
      </c>
      <c r="C49" s="8" t="s">
        <v>18</v>
      </c>
    </row>
    <row r="50" spans="1:4" x14ac:dyDescent="0.25">
      <c r="A50" s="5">
        <v>46053</v>
      </c>
      <c r="B50" t="s">
        <v>10</v>
      </c>
      <c r="C50" s="8" t="s">
        <v>19</v>
      </c>
    </row>
    <row r="51" spans="1:4" x14ac:dyDescent="0.25">
      <c r="A51" s="5">
        <v>46053</v>
      </c>
      <c r="B51" t="s">
        <v>10</v>
      </c>
      <c r="C51" s="8" t="s">
        <v>20</v>
      </c>
    </row>
    <row r="52" spans="1:4" x14ac:dyDescent="0.25">
      <c r="A52" s="5">
        <v>46053</v>
      </c>
      <c r="B52" t="s">
        <v>10</v>
      </c>
      <c r="C52" s="8" t="s">
        <v>21</v>
      </c>
    </row>
    <row r="53" spans="1:4" x14ac:dyDescent="0.25">
      <c r="A53" s="5">
        <v>46053</v>
      </c>
      <c r="B53" t="s">
        <v>10</v>
      </c>
      <c r="C53" s="8" t="s">
        <v>22</v>
      </c>
    </row>
    <row r="54" spans="1:4" x14ac:dyDescent="0.25">
      <c r="A54" s="5">
        <v>46053</v>
      </c>
      <c r="B54" t="s">
        <v>10</v>
      </c>
      <c r="C54" s="8" t="s">
        <v>23</v>
      </c>
    </row>
    <row r="56" spans="1:4" x14ac:dyDescent="0.25">
      <c r="A56" s="5">
        <v>46053</v>
      </c>
      <c r="B56" t="s">
        <v>51</v>
      </c>
      <c r="C56" t="s">
        <v>24</v>
      </c>
      <c r="D56" s="14">
        <v>8.3999999999999995E-3</v>
      </c>
    </row>
    <row r="57" spans="1:4" x14ac:dyDescent="0.25">
      <c r="A57" s="5">
        <v>46053</v>
      </c>
      <c r="B57" t="s">
        <v>51</v>
      </c>
      <c r="C57" t="s">
        <v>25</v>
      </c>
      <c r="D57" s="14">
        <v>3.3999999999999998E-3</v>
      </c>
    </row>
    <row r="58" spans="1:4" x14ac:dyDescent="0.25">
      <c r="A58" s="5">
        <v>46053</v>
      </c>
      <c r="B58" t="s">
        <v>51</v>
      </c>
      <c r="C58" t="s">
        <v>26</v>
      </c>
      <c r="D58" s="14">
        <v>1E-4</v>
      </c>
    </row>
    <row r="59" spans="1:4" x14ac:dyDescent="0.25">
      <c r="A59" s="5">
        <v>46053</v>
      </c>
      <c r="B59" t="s">
        <v>51</v>
      </c>
      <c r="C59" t="s">
        <v>27</v>
      </c>
      <c r="D59" s="14">
        <v>-2.9999999999999997E-4</v>
      </c>
    </row>
    <row r="60" spans="1:4" x14ac:dyDescent="0.25">
      <c r="A60" s="5">
        <v>46053</v>
      </c>
      <c r="B60" t="s">
        <v>51</v>
      </c>
      <c r="C60" t="s">
        <v>52</v>
      </c>
      <c r="D60" s="14">
        <v>-3.5000000000000001E-3</v>
      </c>
    </row>
    <row r="62" spans="1:4" x14ac:dyDescent="0.25">
      <c r="A62" s="5">
        <v>46053</v>
      </c>
      <c r="B62" t="s">
        <v>53</v>
      </c>
      <c r="C62" t="s">
        <v>24</v>
      </c>
      <c r="D62">
        <v>8.9870820000000004E-3</v>
      </c>
    </row>
    <row r="63" spans="1:4" x14ac:dyDescent="0.25">
      <c r="A63" s="5">
        <v>46053</v>
      </c>
      <c r="B63" t="s">
        <v>53</v>
      </c>
      <c r="C63" t="s">
        <v>25</v>
      </c>
      <c r="D63">
        <v>3.6734480000000002E-3</v>
      </c>
    </row>
    <row r="64" spans="1:4" x14ac:dyDescent="0.25">
      <c r="A64" s="5">
        <v>46053</v>
      </c>
      <c r="B64" t="s">
        <v>53</v>
      </c>
      <c r="C64" t="s">
        <v>26</v>
      </c>
      <c r="D64">
        <v>1.2233900000000001E-4</v>
      </c>
    </row>
    <row r="65" spans="1:4" x14ac:dyDescent="0.25">
      <c r="A65" s="5">
        <v>46053</v>
      </c>
      <c r="B65" t="s">
        <v>53</v>
      </c>
      <c r="C65" t="s">
        <v>27</v>
      </c>
      <c r="D65">
        <v>-3.1503400000000001E-4</v>
      </c>
    </row>
    <row r="66" spans="1:4" x14ac:dyDescent="0.25">
      <c r="A66" s="5">
        <v>46053</v>
      </c>
      <c r="B66" t="s">
        <v>53</v>
      </c>
      <c r="C66" t="s">
        <v>52</v>
      </c>
      <c r="D66">
        <v>-3.7508099999999998E-3</v>
      </c>
    </row>
    <row r="68" spans="1:4" x14ac:dyDescent="0.25">
      <c r="A68" s="5"/>
      <c r="D68" s="14"/>
    </row>
    <row r="69" spans="1:4" x14ac:dyDescent="0.25">
      <c r="A69" s="5"/>
      <c r="D69" s="14"/>
    </row>
    <row r="70" spans="1:4" x14ac:dyDescent="0.25">
      <c r="A70" s="5"/>
      <c r="D70" s="14"/>
    </row>
    <row r="71" spans="1:4" x14ac:dyDescent="0.25">
      <c r="A71" s="5"/>
      <c r="D71" s="14"/>
    </row>
    <row r="72" spans="1:4" x14ac:dyDescent="0.25">
      <c r="A72" s="5"/>
      <c r="D72" s="14"/>
    </row>
    <row r="73" spans="1:4" x14ac:dyDescent="0.25">
      <c r="A73" s="5"/>
      <c r="D73" s="14"/>
    </row>
    <row r="75" spans="1:4" x14ac:dyDescent="0.25">
      <c r="A75" s="5"/>
      <c r="D75" s="14"/>
    </row>
    <row r="76" spans="1:4" x14ac:dyDescent="0.25">
      <c r="A76" s="5"/>
      <c r="D76" s="14"/>
    </row>
    <row r="77" spans="1:4" x14ac:dyDescent="0.25">
      <c r="A77" s="5"/>
      <c r="D77" s="14"/>
    </row>
    <row r="78" spans="1:4" x14ac:dyDescent="0.25">
      <c r="A78" s="5"/>
      <c r="D78" s="14"/>
    </row>
    <row r="79" spans="1:4" x14ac:dyDescent="0.25">
      <c r="A79" s="5"/>
      <c r="D79" s="14"/>
    </row>
    <row r="80" spans="1:4" x14ac:dyDescent="0.25">
      <c r="A80" s="5"/>
      <c r="D80" s="14"/>
    </row>
    <row r="82" spans="1:4" x14ac:dyDescent="0.25">
      <c r="A82" s="5"/>
      <c r="D82" s="14"/>
    </row>
    <row r="83" spans="1:4" x14ac:dyDescent="0.25">
      <c r="A83" s="5"/>
      <c r="D83" s="14"/>
    </row>
    <row r="84" spans="1:4" x14ac:dyDescent="0.25">
      <c r="A84" s="5"/>
      <c r="D84" s="14"/>
    </row>
    <row r="85" spans="1:4" x14ac:dyDescent="0.25">
      <c r="A85" s="5"/>
      <c r="D85" s="14"/>
    </row>
    <row r="86" spans="1:4" x14ac:dyDescent="0.25">
      <c r="A86" s="5"/>
      <c r="D86" s="14"/>
    </row>
    <row r="87" spans="1:4" x14ac:dyDescent="0.25">
      <c r="A87" s="5"/>
      <c r="D87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1EC6F-1F6B-4301-B283-6E401D9A2BD8}">
  <dimension ref="A1:D54"/>
  <sheetViews>
    <sheetView topLeftCell="A25" workbookViewId="0">
      <selection activeCell="K50" sqref="K50"/>
    </sheetView>
  </sheetViews>
  <sheetFormatPr defaultRowHeight="15" x14ac:dyDescent="0.25"/>
  <cols>
    <col min="1" max="1" width="10.42578125" bestFit="1" customWidth="1"/>
    <col min="2" max="2" width="12.7109375" bestFit="1" customWidth="1"/>
    <col min="3" max="3" width="11.140625" bestFit="1" customWidth="1"/>
  </cols>
  <sheetData>
    <row r="1" spans="1:4" x14ac:dyDescent="0.25">
      <c r="A1" t="s">
        <v>0</v>
      </c>
      <c r="B1" t="s">
        <v>7</v>
      </c>
      <c r="C1" t="s">
        <v>14</v>
      </c>
      <c r="D1" t="s">
        <v>8</v>
      </c>
    </row>
    <row r="2" spans="1:4" x14ac:dyDescent="0.25">
      <c r="A2" s="5">
        <v>46022</v>
      </c>
      <c r="B2" t="s">
        <v>10</v>
      </c>
      <c r="C2" s="8" t="s">
        <v>16</v>
      </c>
      <c r="D2" s="8">
        <v>0.148490283</v>
      </c>
    </row>
    <row r="3" spans="1:4" x14ac:dyDescent="0.25">
      <c r="A3" s="5">
        <v>46022</v>
      </c>
      <c r="B3" t="s">
        <v>10</v>
      </c>
      <c r="C3" s="8" t="s">
        <v>17</v>
      </c>
      <c r="D3" s="8">
        <v>0.16279247299999999</v>
      </c>
    </row>
    <row r="4" spans="1:4" x14ac:dyDescent="0.25">
      <c r="A4" s="5">
        <v>46022</v>
      </c>
      <c r="B4" t="s">
        <v>10</v>
      </c>
      <c r="C4" s="8" t="s">
        <v>18</v>
      </c>
      <c r="D4" s="8">
        <v>7.2808337000000001E-2</v>
      </c>
    </row>
    <row r="5" spans="1:4" x14ac:dyDescent="0.25">
      <c r="A5" s="5">
        <v>46022</v>
      </c>
      <c r="B5" t="s">
        <v>10</v>
      </c>
      <c r="C5" s="8" t="s">
        <v>19</v>
      </c>
      <c r="D5" s="8">
        <v>6.9848535000000003E-2</v>
      </c>
    </row>
    <row r="6" spans="1:4" x14ac:dyDescent="0.25">
      <c r="A6" s="5">
        <v>46022</v>
      </c>
      <c r="B6" t="s">
        <v>10</v>
      </c>
      <c r="C6" s="8" t="s">
        <v>20</v>
      </c>
      <c r="D6" s="8">
        <v>0.14817734099999999</v>
      </c>
    </row>
    <row r="7" spans="1:4" x14ac:dyDescent="0.25">
      <c r="A7" s="5">
        <v>46022</v>
      </c>
      <c r="B7" t="s">
        <v>10</v>
      </c>
      <c r="C7" s="8" t="s">
        <v>21</v>
      </c>
      <c r="D7" s="8">
        <v>0.27053666599999998</v>
      </c>
    </row>
    <row r="8" spans="1:4" x14ac:dyDescent="0.25">
      <c r="A8" s="5">
        <v>46022</v>
      </c>
      <c r="B8" t="s">
        <v>10</v>
      </c>
      <c r="C8" s="8" t="s">
        <v>22</v>
      </c>
      <c r="D8" s="8">
        <v>4.3274623999999998E-2</v>
      </c>
    </row>
    <row r="9" spans="1:4" x14ac:dyDescent="0.25">
      <c r="A9" s="5">
        <v>46022</v>
      </c>
      <c r="B9" t="s">
        <v>10</v>
      </c>
      <c r="C9" s="8" t="s">
        <v>23</v>
      </c>
      <c r="D9" s="8">
        <v>8.4071742000000005E-2</v>
      </c>
    </row>
    <row r="12" spans="1:4" x14ac:dyDescent="0.25">
      <c r="A12" s="5">
        <v>46053</v>
      </c>
      <c r="B12" t="s">
        <v>10</v>
      </c>
      <c r="C12" s="8" t="s">
        <v>16</v>
      </c>
      <c r="D12">
        <v>0.14214365200000001</v>
      </c>
    </row>
    <row r="13" spans="1:4" x14ac:dyDescent="0.25">
      <c r="A13" s="5">
        <v>46053</v>
      </c>
      <c r="B13" t="s">
        <v>10</v>
      </c>
      <c r="C13" s="8" t="s">
        <v>17</v>
      </c>
      <c r="D13">
        <v>0.17817851800000001</v>
      </c>
    </row>
    <row r="14" spans="1:4" x14ac:dyDescent="0.25">
      <c r="A14" s="5">
        <v>46053</v>
      </c>
      <c r="B14" t="s">
        <v>10</v>
      </c>
      <c r="C14" s="8" t="s">
        <v>18</v>
      </c>
      <c r="D14">
        <v>8.0301278000000004E-2</v>
      </c>
    </row>
    <row r="15" spans="1:4" x14ac:dyDescent="0.25">
      <c r="A15" s="5">
        <v>46053</v>
      </c>
      <c r="B15" t="s">
        <v>10</v>
      </c>
      <c r="C15" s="8" t="s">
        <v>19</v>
      </c>
      <c r="D15">
        <v>6.4140608000000002E-2</v>
      </c>
    </row>
    <row r="16" spans="1:4" x14ac:dyDescent="0.25">
      <c r="A16" s="5">
        <v>46053</v>
      </c>
      <c r="B16" t="s">
        <v>10</v>
      </c>
      <c r="C16" s="8" t="s">
        <v>20</v>
      </c>
      <c r="D16">
        <v>0.13958173700000001</v>
      </c>
    </row>
    <row r="17" spans="1:4" x14ac:dyDescent="0.25">
      <c r="A17" s="5">
        <v>46053</v>
      </c>
      <c r="B17" t="s">
        <v>10</v>
      </c>
      <c r="C17" s="8" t="s">
        <v>21</v>
      </c>
      <c r="D17">
        <v>0.26285425499999998</v>
      </c>
    </row>
    <row r="18" spans="1:4" x14ac:dyDescent="0.25">
      <c r="A18" s="5">
        <v>46053</v>
      </c>
      <c r="B18" t="s">
        <v>10</v>
      </c>
      <c r="C18" s="8" t="s">
        <v>22</v>
      </c>
      <c r="D18">
        <v>4.4043301E-2</v>
      </c>
    </row>
    <row r="19" spans="1:4" x14ac:dyDescent="0.25">
      <c r="A19" s="5">
        <v>46053</v>
      </c>
      <c r="B19" t="s">
        <v>10</v>
      </c>
      <c r="C19" s="8" t="s">
        <v>23</v>
      </c>
      <c r="D19">
        <v>8.8756650000000006E-2</v>
      </c>
    </row>
    <row r="22" spans="1:4" x14ac:dyDescent="0.25">
      <c r="A22" s="5">
        <v>46081</v>
      </c>
      <c r="B22" t="s">
        <v>10</v>
      </c>
      <c r="C22" s="8" t="s">
        <v>22</v>
      </c>
      <c r="D22">
        <v>4.3777761999999998E-2</v>
      </c>
    </row>
    <row r="23" spans="1:4" x14ac:dyDescent="0.25">
      <c r="A23" s="5">
        <v>46081</v>
      </c>
      <c r="B23" t="s">
        <v>10</v>
      </c>
      <c r="C23" s="8" t="s">
        <v>17</v>
      </c>
      <c r="D23">
        <v>0.17479294500000001</v>
      </c>
    </row>
    <row r="24" spans="1:4" x14ac:dyDescent="0.25">
      <c r="A24" s="5">
        <v>46081</v>
      </c>
      <c r="B24" t="s">
        <v>10</v>
      </c>
      <c r="C24" s="8" t="s">
        <v>21</v>
      </c>
      <c r="D24">
        <v>0.21942244899999999</v>
      </c>
    </row>
    <row r="25" spans="1:4" x14ac:dyDescent="0.25">
      <c r="A25" s="5">
        <v>46081</v>
      </c>
      <c r="B25" t="s">
        <v>10</v>
      </c>
      <c r="C25" s="8" t="s">
        <v>18</v>
      </c>
      <c r="D25">
        <v>4.7493247000000002E-2</v>
      </c>
    </row>
    <row r="26" spans="1:4" x14ac:dyDescent="0.25">
      <c r="A26" s="5">
        <v>46081</v>
      </c>
      <c r="B26" t="s">
        <v>10</v>
      </c>
      <c r="C26" s="8" t="s">
        <v>19</v>
      </c>
      <c r="D26">
        <v>6.7400744999999998E-2</v>
      </c>
    </row>
    <row r="27" spans="1:4" x14ac:dyDescent="0.25">
      <c r="A27" s="5">
        <v>46081</v>
      </c>
      <c r="B27" t="s">
        <v>10</v>
      </c>
      <c r="C27" s="8" t="s">
        <v>23</v>
      </c>
      <c r="D27">
        <v>8.0031748E-2</v>
      </c>
    </row>
    <row r="28" spans="1:4" x14ac:dyDescent="0.25">
      <c r="A28" s="5">
        <v>46081</v>
      </c>
      <c r="B28" t="s">
        <v>10</v>
      </c>
      <c r="C28" s="8" t="s">
        <v>127</v>
      </c>
      <c r="D28">
        <v>8.0959505000000001E-2</v>
      </c>
    </row>
    <row r="29" spans="1:4" x14ac:dyDescent="0.25">
      <c r="A29" s="5">
        <v>46081</v>
      </c>
      <c r="B29" t="s">
        <v>10</v>
      </c>
      <c r="C29" s="8" t="s">
        <v>20</v>
      </c>
      <c r="D29">
        <v>0.147127277</v>
      </c>
    </row>
    <row r="30" spans="1:4" x14ac:dyDescent="0.25">
      <c r="A30" s="5">
        <v>46081</v>
      </c>
      <c r="B30" t="s">
        <v>10</v>
      </c>
      <c r="C30" s="8" t="s">
        <v>16</v>
      </c>
      <c r="D30">
        <v>0.138994322</v>
      </c>
    </row>
    <row r="33" spans="1:4" x14ac:dyDescent="0.25">
      <c r="A33" s="5">
        <v>46112</v>
      </c>
      <c r="B33" t="s">
        <v>10</v>
      </c>
      <c r="C33" s="8" t="s">
        <v>22</v>
      </c>
      <c r="D33">
        <v>4.7699999999999999E-2</v>
      </c>
    </row>
    <row r="34" spans="1:4" x14ac:dyDescent="0.25">
      <c r="A34" s="5">
        <v>46112</v>
      </c>
      <c r="B34" t="s">
        <v>10</v>
      </c>
      <c r="C34" s="8" t="s">
        <v>130</v>
      </c>
      <c r="D34">
        <v>6.9999999999999999E-4</v>
      </c>
    </row>
    <row r="35" spans="1:4" x14ac:dyDescent="0.25">
      <c r="A35" s="5">
        <v>46112</v>
      </c>
      <c r="B35" t="s">
        <v>10</v>
      </c>
      <c r="C35" s="8" t="s">
        <v>17</v>
      </c>
      <c r="D35">
        <v>0.1993</v>
      </c>
    </row>
    <row r="36" spans="1:4" x14ac:dyDescent="0.25">
      <c r="A36" s="5">
        <v>46112</v>
      </c>
      <c r="B36" t="s">
        <v>10</v>
      </c>
      <c r="C36" s="8" t="s">
        <v>21</v>
      </c>
      <c r="D36">
        <v>0.35320000000000001</v>
      </c>
    </row>
    <row r="37" spans="1:4" x14ac:dyDescent="0.25">
      <c r="A37" s="5">
        <v>46112</v>
      </c>
      <c r="B37" t="s">
        <v>10</v>
      </c>
      <c r="C37" s="8" t="s">
        <v>18</v>
      </c>
      <c r="D37">
        <v>0</v>
      </c>
    </row>
    <row r="38" spans="1:4" x14ac:dyDescent="0.25">
      <c r="A38" s="5">
        <v>46112</v>
      </c>
      <c r="B38" t="s">
        <v>10</v>
      </c>
      <c r="C38" s="8" t="s">
        <v>19</v>
      </c>
      <c r="D38">
        <v>0.04</v>
      </c>
    </row>
    <row r="39" spans="1:4" x14ac:dyDescent="0.25">
      <c r="A39" s="5">
        <v>46112</v>
      </c>
      <c r="B39" t="s">
        <v>10</v>
      </c>
      <c r="C39" s="8" t="s">
        <v>23</v>
      </c>
      <c r="D39">
        <v>4.7100000000000003E-2</v>
      </c>
    </row>
    <row r="40" spans="1:4" x14ac:dyDescent="0.25">
      <c r="A40" s="5">
        <v>46112</v>
      </c>
      <c r="B40" t="s">
        <v>10</v>
      </c>
      <c r="C40" s="8" t="s">
        <v>127</v>
      </c>
      <c r="D40">
        <v>4.24E-2</v>
      </c>
    </row>
    <row r="41" spans="1:4" x14ac:dyDescent="0.25">
      <c r="A41" s="5">
        <v>46112</v>
      </c>
      <c r="B41" t="s">
        <v>10</v>
      </c>
      <c r="C41" s="8" t="s">
        <v>20</v>
      </c>
      <c r="D41">
        <v>0.1482</v>
      </c>
    </row>
    <row r="42" spans="1:4" x14ac:dyDescent="0.25">
      <c r="A42" s="5">
        <v>46112</v>
      </c>
      <c r="B42" t="s">
        <v>10</v>
      </c>
      <c r="C42" s="8" t="s">
        <v>16</v>
      </c>
      <c r="D42">
        <v>0.1215</v>
      </c>
    </row>
    <row r="45" spans="1:4" x14ac:dyDescent="0.25">
      <c r="A45" s="5">
        <v>46142</v>
      </c>
      <c r="B45" t="s">
        <v>10</v>
      </c>
      <c r="C45" s="8" t="s">
        <v>22</v>
      </c>
      <c r="D45">
        <v>4.4407529000000001E-2</v>
      </c>
    </row>
    <row r="46" spans="1:4" x14ac:dyDescent="0.25">
      <c r="A46" s="5">
        <v>46142</v>
      </c>
      <c r="B46" t="s">
        <v>10</v>
      </c>
      <c r="C46" s="8" t="s">
        <v>130</v>
      </c>
      <c r="D46">
        <v>5.6224699999999999E-4</v>
      </c>
    </row>
    <row r="47" spans="1:4" x14ac:dyDescent="0.25">
      <c r="A47" s="5">
        <v>46142</v>
      </c>
      <c r="B47" t="s">
        <v>10</v>
      </c>
      <c r="C47" s="8" t="s">
        <v>17</v>
      </c>
      <c r="D47">
        <v>0.17825833099999999</v>
      </c>
    </row>
    <row r="48" spans="1:4" x14ac:dyDescent="0.25">
      <c r="A48" s="5">
        <v>46142</v>
      </c>
      <c r="B48" t="s">
        <v>10</v>
      </c>
      <c r="C48" s="8" t="s">
        <v>21</v>
      </c>
      <c r="D48">
        <v>0.31342321099999998</v>
      </c>
    </row>
    <row r="49" spans="1:4" x14ac:dyDescent="0.25">
      <c r="A49" s="5">
        <v>46142</v>
      </c>
      <c r="B49" t="s">
        <v>10</v>
      </c>
      <c r="C49" s="8" t="s">
        <v>18</v>
      </c>
      <c r="D49">
        <v>0.100056753</v>
      </c>
    </row>
    <row r="50" spans="1:4" x14ac:dyDescent="0.25">
      <c r="A50" s="5">
        <v>46142</v>
      </c>
      <c r="B50" t="s">
        <v>10</v>
      </c>
      <c r="C50" s="8" t="s">
        <v>19</v>
      </c>
      <c r="D50">
        <v>3.6569926000000003E-2</v>
      </c>
    </row>
    <row r="51" spans="1:4" x14ac:dyDescent="0.25">
      <c r="A51" s="5">
        <v>46142</v>
      </c>
      <c r="B51" t="s">
        <v>10</v>
      </c>
      <c r="C51" s="8" t="s">
        <v>23</v>
      </c>
      <c r="D51">
        <v>4.0984791E-2</v>
      </c>
    </row>
    <row r="52" spans="1:4" x14ac:dyDescent="0.25">
      <c r="A52" s="5">
        <v>46142</v>
      </c>
      <c r="B52" t="s">
        <v>10</v>
      </c>
      <c r="C52" s="8" t="s">
        <v>127</v>
      </c>
      <c r="D52">
        <v>4.4478895999999997E-2</v>
      </c>
    </row>
    <row r="53" spans="1:4" x14ac:dyDescent="0.25">
      <c r="A53" s="5">
        <v>46142</v>
      </c>
      <c r="B53" t="s">
        <v>10</v>
      </c>
      <c r="C53" s="8" t="s">
        <v>20</v>
      </c>
      <c r="D53">
        <v>0.137006029</v>
      </c>
    </row>
    <row r="54" spans="1:4" x14ac:dyDescent="0.25">
      <c r="A54" s="5">
        <v>46142</v>
      </c>
      <c r="B54" t="s">
        <v>10</v>
      </c>
      <c r="C54" s="8" t="s">
        <v>16</v>
      </c>
      <c r="D54">
        <v>0.104252286</v>
      </c>
    </row>
  </sheetData>
  <sortState xmlns:xlrd2="http://schemas.microsoft.com/office/spreadsheetml/2017/richdata2" ref="A22:D30">
    <sortCondition ref="C22:C30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1606F-1083-4B7B-81B9-25B5BA84FD21}">
  <dimension ref="A1:D75"/>
  <sheetViews>
    <sheetView topLeftCell="A45" workbookViewId="0">
      <selection activeCell="J72" sqref="J72"/>
    </sheetView>
  </sheetViews>
  <sheetFormatPr defaultRowHeight="15" x14ac:dyDescent="0.25"/>
  <cols>
    <col min="1" max="1" width="10.42578125" bestFit="1" customWidth="1"/>
    <col min="2" max="2" width="19.7109375" bestFit="1" customWidth="1"/>
    <col min="3" max="3" width="19.28515625" bestFit="1" customWidth="1"/>
  </cols>
  <sheetData>
    <row r="1" spans="1:4" x14ac:dyDescent="0.25">
      <c r="A1" t="s">
        <v>0</v>
      </c>
      <c r="B1" t="s">
        <v>7</v>
      </c>
      <c r="C1" t="s">
        <v>14</v>
      </c>
      <c r="D1" t="s">
        <v>8</v>
      </c>
    </row>
    <row r="2" spans="1:4" x14ac:dyDescent="0.25">
      <c r="A2" s="5">
        <v>46022</v>
      </c>
      <c r="B2" t="s">
        <v>3</v>
      </c>
      <c r="C2" s="8" t="s">
        <v>24</v>
      </c>
      <c r="D2" s="9">
        <v>0.785753865</v>
      </c>
    </row>
    <row r="3" spans="1:4" x14ac:dyDescent="0.25">
      <c r="A3" s="5">
        <v>46022</v>
      </c>
      <c r="B3" t="s">
        <v>3</v>
      </c>
      <c r="C3" s="8" t="s">
        <v>25</v>
      </c>
      <c r="D3" s="9">
        <v>0.171157165</v>
      </c>
    </row>
    <row r="4" spans="1:4" x14ac:dyDescent="0.25">
      <c r="A4" s="5">
        <v>46022</v>
      </c>
      <c r="B4" t="s">
        <v>3</v>
      </c>
      <c r="C4" s="8" t="s">
        <v>26</v>
      </c>
      <c r="D4" s="9">
        <v>4.2942231999999997E-2</v>
      </c>
    </row>
    <row r="5" spans="1:4" x14ac:dyDescent="0.25">
      <c r="A5" s="5">
        <v>46022</v>
      </c>
      <c r="B5" t="s">
        <v>3</v>
      </c>
      <c r="C5" s="8" t="s">
        <v>27</v>
      </c>
      <c r="D5" s="9">
        <v>1.4673799999999999E-4</v>
      </c>
    </row>
    <row r="8" spans="1:4" x14ac:dyDescent="0.25">
      <c r="A8" s="5">
        <v>46022</v>
      </c>
      <c r="B8" t="s">
        <v>4</v>
      </c>
      <c r="C8" s="8" t="s">
        <v>24</v>
      </c>
      <c r="D8" s="9">
        <v>0.78774932012756183</v>
      </c>
    </row>
    <row r="9" spans="1:4" x14ac:dyDescent="0.25">
      <c r="A9" s="5">
        <v>46022</v>
      </c>
      <c r="B9" t="s">
        <v>4</v>
      </c>
      <c r="C9" s="8" t="s">
        <v>25</v>
      </c>
      <c r="D9" s="9">
        <v>0.16880521282943364</v>
      </c>
    </row>
    <row r="10" spans="1:4" x14ac:dyDescent="0.25">
      <c r="A10" s="5">
        <v>46022</v>
      </c>
      <c r="B10" t="s">
        <v>4</v>
      </c>
      <c r="C10" s="8" t="s">
        <v>26</v>
      </c>
      <c r="D10" s="9">
        <v>4.3294770533910759E-2</v>
      </c>
    </row>
    <row r="11" spans="1:4" x14ac:dyDescent="0.25">
      <c r="A11" s="5">
        <v>46022</v>
      </c>
      <c r="B11" t="s">
        <v>4</v>
      </c>
      <c r="C11" s="8" t="s">
        <v>27</v>
      </c>
      <c r="D11" s="9">
        <v>1.5069650909392681E-4</v>
      </c>
    </row>
    <row r="13" spans="1:4" x14ac:dyDescent="0.25">
      <c r="A13" s="5">
        <v>46022</v>
      </c>
      <c r="B13" t="s">
        <v>51</v>
      </c>
      <c r="C13" s="8" t="s">
        <v>24</v>
      </c>
      <c r="D13" s="8">
        <v>0.73326322399999999</v>
      </c>
    </row>
    <row r="14" spans="1:4" x14ac:dyDescent="0.25">
      <c r="A14" s="5">
        <v>46022</v>
      </c>
      <c r="B14" t="s">
        <v>51</v>
      </c>
      <c r="C14" s="8" t="s">
        <v>25</v>
      </c>
      <c r="D14" s="8">
        <v>0.171157165</v>
      </c>
    </row>
    <row r="15" spans="1:4" x14ac:dyDescent="0.25">
      <c r="A15" s="5">
        <v>46022</v>
      </c>
      <c r="B15" t="s">
        <v>51</v>
      </c>
      <c r="C15" s="8" t="s">
        <v>26</v>
      </c>
      <c r="D15" s="8">
        <v>4.2942231999999997E-2</v>
      </c>
    </row>
    <row r="16" spans="1:4" x14ac:dyDescent="0.25">
      <c r="A16" s="5">
        <v>46022</v>
      </c>
      <c r="B16" t="s">
        <v>51</v>
      </c>
      <c r="C16" s="8" t="s">
        <v>27</v>
      </c>
      <c r="D16" s="8">
        <v>1.4673799999999999E-4</v>
      </c>
    </row>
    <row r="17" spans="1:4" x14ac:dyDescent="0.25">
      <c r="A17" s="5">
        <v>46022</v>
      </c>
      <c r="B17" t="s">
        <v>51</v>
      </c>
      <c r="C17" s="8" t="s">
        <v>52</v>
      </c>
      <c r="D17" s="8">
        <v>5.2490640999999998E-2</v>
      </c>
    </row>
    <row r="19" spans="1:4" x14ac:dyDescent="0.25">
      <c r="A19" s="5">
        <v>46022</v>
      </c>
      <c r="B19" t="s">
        <v>53</v>
      </c>
      <c r="C19" s="8" t="s">
        <v>24</v>
      </c>
      <c r="D19" s="8">
        <v>0.73384264215674477</v>
      </c>
    </row>
    <row r="20" spans="1:4" x14ac:dyDescent="0.25">
      <c r="A20" s="5">
        <v>46022</v>
      </c>
      <c r="B20" t="s">
        <v>53</v>
      </c>
      <c r="C20" s="8" t="s">
        <v>25</v>
      </c>
      <c r="D20" s="8">
        <v>5.390667797081692E-2</v>
      </c>
    </row>
    <row r="21" spans="1:4" x14ac:dyDescent="0.25">
      <c r="A21" s="5">
        <v>46022</v>
      </c>
      <c r="B21" t="s">
        <v>53</v>
      </c>
      <c r="C21" s="8" t="s">
        <v>26</v>
      </c>
      <c r="D21" s="8">
        <v>0.16880521282943364</v>
      </c>
    </row>
    <row r="22" spans="1:4" x14ac:dyDescent="0.25">
      <c r="A22" s="5">
        <v>46022</v>
      </c>
      <c r="B22" t="s">
        <v>53</v>
      </c>
      <c r="C22" s="8" t="s">
        <v>27</v>
      </c>
      <c r="D22" s="8">
        <v>4.3294770533910759E-2</v>
      </c>
    </row>
    <row r="23" spans="1:4" x14ac:dyDescent="0.25">
      <c r="A23" s="5">
        <v>46022</v>
      </c>
      <c r="B23" t="s">
        <v>53</v>
      </c>
      <c r="C23" s="8" t="s">
        <v>52</v>
      </c>
      <c r="D23" s="8">
        <v>1.5069650909392681E-4</v>
      </c>
    </row>
    <row r="25" spans="1:4" x14ac:dyDescent="0.25">
      <c r="A25" s="5">
        <v>46053</v>
      </c>
      <c r="B25" t="s">
        <v>3</v>
      </c>
      <c r="C25" s="8" t="s">
        <v>24</v>
      </c>
      <c r="D25">
        <v>0.78115775700000001</v>
      </c>
    </row>
    <row r="26" spans="1:4" x14ac:dyDescent="0.25">
      <c r="A26" s="5">
        <v>46053</v>
      </c>
      <c r="B26" t="s">
        <v>3</v>
      </c>
      <c r="C26" s="8" t="s">
        <v>25</v>
      </c>
      <c r="D26">
        <v>0.174992863</v>
      </c>
    </row>
    <row r="27" spans="1:4" x14ac:dyDescent="0.25">
      <c r="A27" s="5">
        <v>46053</v>
      </c>
      <c r="B27" t="s">
        <v>3</v>
      </c>
      <c r="C27" s="8" t="s">
        <v>26</v>
      </c>
      <c r="D27">
        <v>4.3168843999999998E-2</v>
      </c>
    </row>
    <row r="28" spans="1:4" x14ac:dyDescent="0.25">
      <c r="A28" s="5">
        <v>46053</v>
      </c>
      <c r="B28" t="s">
        <v>3</v>
      </c>
      <c r="C28" s="8" t="s">
        <v>27</v>
      </c>
      <c r="D28">
        <v>6.8053700000000005E-4</v>
      </c>
    </row>
    <row r="30" spans="1:4" x14ac:dyDescent="0.25">
      <c r="A30" s="5">
        <v>46053</v>
      </c>
      <c r="B30" t="s">
        <v>51</v>
      </c>
      <c r="C30" s="8" t="s">
        <v>24</v>
      </c>
      <c r="D30" s="8">
        <v>0.73201671899999998</v>
      </c>
    </row>
    <row r="31" spans="1:4" x14ac:dyDescent="0.25">
      <c r="A31" s="5">
        <v>46053</v>
      </c>
      <c r="B31" t="s">
        <v>51</v>
      </c>
      <c r="C31" s="8" t="s">
        <v>25</v>
      </c>
      <c r="D31" s="8">
        <v>0.174992863</v>
      </c>
    </row>
    <row r="32" spans="1:4" x14ac:dyDescent="0.25">
      <c r="A32" s="5">
        <v>46053</v>
      </c>
      <c r="B32" t="s">
        <v>51</v>
      </c>
      <c r="C32" s="8" t="s">
        <v>26</v>
      </c>
      <c r="D32" s="8">
        <v>4.3168843999999998E-2</v>
      </c>
    </row>
    <row r="33" spans="1:4" x14ac:dyDescent="0.25">
      <c r="A33" s="5">
        <v>46053</v>
      </c>
      <c r="B33" t="s">
        <v>51</v>
      </c>
      <c r="C33" s="8" t="s">
        <v>27</v>
      </c>
      <c r="D33" s="8">
        <v>6.8053700000000005E-4</v>
      </c>
    </row>
    <row r="34" spans="1:4" x14ac:dyDescent="0.25">
      <c r="A34" s="5">
        <v>46053</v>
      </c>
      <c r="B34" t="s">
        <v>51</v>
      </c>
      <c r="C34" s="8" t="s">
        <v>52</v>
      </c>
      <c r="D34" s="8">
        <v>4.9141036999999999E-2</v>
      </c>
    </row>
    <row r="36" spans="1:4" x14ac:dyDescent="0.25">
      <c r="A36" s="5">
        <v>46053</v>
      </c>
      <c r="B36" t="s">
        <v>4</v>
      </c>
      <c r="C36" s="8" t="s">
        <v>24</v>
      </c>
      <c r="D36">
        <v>0.78115775700000001</v>
      </c>
    </row>
    <row r="37" spans="1:4" x14ac:dyDescent="0.25">
      <c r="A37" s="5">
        <v>46053</v>
      </c>
      <c r="B37" t="s">
        <v>4</v>
      </c>
      <c r="C37" s="8" t="s">
        <v>25</v>
      </c>
      <c r="D37">
        <v>0.174992863</v>
      </c>
    </row>
    <row r="38" spans="1:4" x14ac:dyDescent="0.25">
      <c r="A38" s="5">
        <v>46053</v>
      </c>
      <c r="B38" t="s">
        <v>4</v>
      </c>
      <c r="C38" s="8" t="s">
        <v>26</v>
      </c>
      <c r="D38">
        <v>4.3168843999999998E-2</v>
      </c>
    </row>
    <row r="39" spans="1:4" x14ac:dyDescent="0.25">
      <c r="A39" s="5">
        <v>46053</v>
      </c>
      <c r="B39" t="s">
        <v>4</v>
      </c>
      <c r="C39" s="8" t="s">
        <v>27</v>
      </c>
      <c r="D39">
        <v>6.8053700000000005E-4</v>
      </c>
    </row>
    <row r="41" spans="1:4" x14ac:dyDescent="0.25">
      <c r="A41" s="5">
        <v>46053</v>
      </c>
      <c r="B41" t="s">
        <v>53</v>
      </c>
      <c r="C41" s="8" t="s">
        <v>24</v>
      </c>
      <c r="D41" s="8">
        <v>0.73201671899999998</v>
      </c>
    </row>
    <row r="42" spans="1:4" x14ac:dyDescent="0.25">
      <c r="A42" s="5">
        <v>46053</v>
      </c>
      <c r="B42" t="s">
        <v>53</v>
      </c>
      <c r="C42" s="8" t="s">
        <v>25</v>
      </c>
      <c r="D42" s="8">
        <v>0.174992863</v>
      </c>
    </row>
    <row r="43" spans="1:4" x14ac:dyDescent="0.25">
      <c r="A43" s="5">
        <v>46053</v>
      </c>
      <c r="B43" t="s">
        <v>53</v>
      </c>
      <c r="C43" s="8" t="s">
        <v>26</v>
      </c>
      <c r="D43" s="8">
        <v>4.3168843999999998E-2</v>
      </c>
    </row>
    <row r="44" spans="1:4" x14ac:dyDescent="0.25">
      <c r="A44" s="5">
        <v>46053</v>
      </c>
      <c r="B44" t="s">
        <v>53</v>
      </c>
      <c r="C44" s="8" t="s">
        <v>27</v>
      </c>
      <c r="D44" s="8">
        <v>6.8053700000000005E-4</v>
      </c>
    </row>
    <row r="45" spans="1:4" x14ac:dyDescent="0.25">
      <c r="A45" s="5">
        <v>46053</v>
      </c>
      <c r="B45" t="s">
        <v>53</v>
      </c>
      <c r="C45" s="8" t="s">
        <v>52</v>
      </c>
      <c r="D45" s="8">
        <v>4.9141036999999999E-2</v>
      </c>
    </row>
    <row r="47" spans="1:4" x14ac:dyDescent="0.25">
      <c r="A47" s="5">
        <v>46081</v>
      </c>
      <c r="B47" t="s">
        <v>3</v>
      </c>
      <c r="C47" s="8" t="s">
        <v>24</v>
      </c>
      <c r="D47">
        <v>0.76797113699999997</v>
      </c>
    </row>
    <row r="48" spans="1:4" x14ac:dyDescent="0.25">
      <c r="A48" s="5">
        <v>46081</v>
      </c>
      <c r="B48" t="s">
        <v>3</v>
      </c>
      <c r="C48" s="8" t="s">
        <v>25</v>
      </c>
      <c r="D48">
        <v>0.17666428100000001</v>
      </c>
    </row>
    <row r="49" spans="1:4" x14ac:dyDescent="0.25">
      <c r="A49" s="5">
        <v>46081</v>
      </c>
      <c r="B49" t="s">
        <v>3</v>
      </c>
      <c r="C49" s="8" t="s">
        <v>26</v>
      </c>
      <c r="D49">
        <v>5.374731E-2</v>
      </c>
    </row>
    <row r="50" spans="1:4" x14ac:dyDescent="0.25">
      <c r="A50" s="5">
        <v>46081</v>
      </c>
      <c r="B50" t="s">
        <v>3</v>
      </c>
      <c r="C50" s="8" t="s">
        <v>27</v>
      </c>
      <c r="D50">
        <v>1.617273E-3</v>
      </c>
    </row>
    <row r="52" spans="1:4" x14ac:dyDescent="0.25">
      <c r="A52" s="5">
        <v>46081</v>
      </c>
      <c r="B52" t="s">
        <v>4</v>
      </c>
      <c r="C52" s="8" t="s">
        <v>24</v>
      </c>
      <c r="D52">
        <v>0.76797113699999997</v>
      </c>
    </row>
    <row r="53" spans="1:4" x14ac:dyDescent="0.25">
      <c r="A53" s="5">
        <v>46081</v>
      </c>
      <c r="B53" t="s">
        <v>4</v>
      </c>
      <c r="C53" s="8" t="s">
        <v>25</v>
      </c>
      <c r="D53">
        <v>0.17666428100000001</v>
      </c>
    </row>
    <row r="54" spans="1:4" x14ac:dyDescent="0.25">
      <c r="A54" s="5">
        <v>46081</v>
      </c>
      <c r="B54" t="s">
        <v>4</v>
      </c>
      <c r="C54" s="8" t="s">
        <v>26</v>
      </c>
      <c r="D54">
        <v>5.374731E-2</v>
      </c>
    </row>
    <row r="55" spans="1:4" x14ac:dyDescent="0.25">
      <c r="A55" s="5">
        <v>46081</v>
      </c>
      <c r="B55" t="s">
        <v>4</v>
      </c>
      <c r="C55" s="8" t="s">
        <v>27</v>
      </c>
      <c r="D55">
        <v>1.617273E-3</v>
      </c>
    </row>
    <row r="57" spans="1:4" x14ac:dyDescent="0.25">
      <c r="A57" s="5">
        <v>46112</v>
      </c>
      <c r="B57" t="s">
        <v>3</v>
      </c>
      <c r="C57" s="8" t="s">
        <v>24</v>
      </c>
      <c r="D57">
        <v>0.76642339100000001</v>
      </c>
    </row>
    <row r="58" spans="1:4" x14ac:dyDescent="0.25">
      <c r="A58" s="5">
        <v>46112</v>
      </c>
      <c r="B58" t="s">
        <v>3</v>
      </c>
      <c r="C58" s="8" t="s">
        <v>25</v>
      </c>
      <c r="D58">
        <v>0.17218044199999999</v>
      </c>
    </row>
    <row r="59" spans="1:4" x14ac:dyDescent="0.25">
      <c r="A59" s="5">
        <v>46112</v>
      </c>
      <c r="B59" t="s">
        <v>3</v>
      </c>
      <c r="C59" s="8" t="s">
        <v>26</v>
      </c>
      <c r="D59">
        <v>5.9370561000000002E-2</v>
      </c>
    </row>
    <row r="60" spans="1:4" x14ac:dyDescent="0.25">
      <c r="A60" s="5">
        <v>46112</v>
      </c>
      <c r="B60" t="s">
        <v>3</v>
      </c>
      <c r="C60" s="8" t="s">
        <v>27</v>
      </c>
      <c r="D60">
        <v>2.0256060000000001E-3</v>
      </c>
    </row>
    <row r="62" spans="1:4" x14ac:dyDescent="0.25">
      <c r="A62" s="5">
        <v>46112</v>
      </c>
      <c r="B62" t="s">
        <v>4</v>
      </c>
      <c r="C62" s="8" t="s">
        <v>24</v>
      </c>
      <c r="D62">
        <v>0.76642339100000001</v>
      </c>
    </row>
    <row r="63" spans="1:4" x14ac:dyDescent="0.25">
      <c r="A63" s="5">
        <v>46112</v>
      </c>
      <c r="B63" t="s">
        <v>4</v>
      </c>
      <c r="C63" s="8" t="s">
        <v>25</v>
      </c>
      <c r="D63">
        <v>0.17218044199999999</v>
      </c>
    </row>
    <row r="64" spans="1:4" x14ac:dyDescent="0.25">
      <c r="A64" s="5">
        <v>46112</v>
      </c>
      <c r="B64" t="s">
        <v>4</v>
      </c>
      <c r="C64" s="8" t="s">
        <v>26</v>
      </c>
      <c r="D64">
        <v>5.9370561000000002E-2</v>
      </c>
    </row>
    <row r="65" spans="1:4" x14ac:dyDescent="0.25">
      <c r="A65" s="5">
        <v>46112</v>
      </c>
      <c r="B65" t="s">
        <v>4</v>
      </c>
      <c r="C65" s="8" t="s">
        <v>27</v>
      </c>
      <c r="D65">
        <v>2.0256060000000001E-3</v>
      </c>
    </row>
    <row r="67" spans="1:4" x14ac:dyDescent="0.25">
      <c r="A67" s="5">
        <v>46142</v>
      </c>
      <c r="B67" t="s">
        <v>4</v>
      </c>
      <c r="C67" s="8" t="s">
        <v>24</v>
      </c>
      <c r="D67">
        <v>0.782796673</v>
      </c>
    </row>
    <row r="68" spans="1:4" x14ac:dyDescent="0.25">
      <c r="A68" s="5">
        <v>46142</v>
      </c>
      <c r="B68" t="s">
        <v>4</v>
      </c>
      <c r="C68" s="8" t="s">
        <v>25</v>
      </c>
      <c r="D68">
        <v>0.17224320200000001</v>
      </c>
    </row>
    <row r="69" spans="1:4" x14ac:dyDescent="0.25">
      <c r="A69" s="5">
        <v>46142</v>
      </c>
      <c r="B69" t="s">
        <v>4</v>
      </c>
      <c r="C69" s="8" t="s">
        <v>26</v>
      </c>
      <c r="D69">
        <v>4.4488158999999999E-2</v>
      </c>
    </row>
    <row r="70" spans="1:4" x14ac:dyDescent="0.25">
      <c r="A70" s="5">
        <v>46142</v>
      </c>
      <c r="B70" t="s">
        <v>4</v>
      </c>
      <c r="C70" s="8" t="s">
        <v>27</v>
      </c>
      <c r="D70">
        <v>4.7196599999999999E-4</v>
      </c>
    </row>
    <row r="72" spans="1:4" x14ac:dyDescent="0.25">
      <c r="A72" s="5">
        <v>46142</v>
      </c>
      <c r="B72" t="s">
        <v>3</v>
      </c>
      <c r="C72" s="8" t="s">
        <v>24</v>
      </c>
      <c r="D72">
        <v>0.782796673</v>
      </c>
    </row>
    <row r="73" spans="1:4" x14ac:dyDescent="0.25">
      <c r="A73" s="5">
        <v>46142</v>
      </c>
      <c r="B73" t="s">
        <v>3</v>
      </c>
      <c r="C73" s="8" t="s">
        <v>25</v>
      </c>
      <c r="D73">
        <v>0.17224320200000001</v>
      </c>
    </row>
    <row r="74" spans="1:4" x14ac:dyDescent="0.25">
      <c r="A74" s="5">
        <v>46142</v>
      </c>
      <c r="B74" t="s">
        <v>3</v>
      </c>
      <c r="C74" s="8" t="s">
        <v>26</v>
      </c>
      <c r="D74">
        <v>4.4488158999999999E-2</v>
      </c>
    </row>
    <row r="75" spans="1:4" x14ac:dyDescent="0.25">
      <c r="A75" s="5">
        <v>46142</v>
      </c>
      <c r="B75" t="s">
        <v>3</v>
      </c>
      <c r="C75" s="8" t="s">
        <v>27</v>
      </c>
      <c r="D75">
        <v>4.7196599999999999E-4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FFDB6-5768-4B61-9482-117D713F98FD}">
  <dimension ref="A1:E12"/>
  <sheetViews>
    <sheetView workbookViewId="0">
      <selection activeCell="K14" sqref="K14"/>
    </sheetView>
  </sheetViews>
  <sheetFormatPr defaultRowHeight="15" x14ac:dyDescent="0.25"/>
  <cols>
    <col min="1" max="1" width="10.42578125" bestFit="1" customWidth="1"/>
    <col min="2" max="2" width="13.85546875" bestFit="1" customWidth="1"/>
    <col min="3" max="3" width="19" bestFit="1" customWidth="1"/>
  </cols>
  <sheetData>
    <row r="1" spans="1:5" x14ac:dyDescent="0.25">
      <c r="A1" t="s">
        <v>0</v>
      </c>
      <c r="B1" t="s">
        <v>7</v>
      </c>
      <c r="C1" t="s">
        <v>14</v>
      </c>
      <c r="D1" t="s">
        <v>8</v>
      </c>
      <c r="E1" t="s">
        <v>50</v>
      </c>
    </row>
    <row r="2" spans="1:5" x14ac:dyDescent="0.25">
      <c r="A2" s="5">
        <v>46022</v>
      </c>
      <c r="B2" t="s">
        <v>51</v>
      </c>
      <c r="C2" s="8" t="s">
        <v>24</v>
      </c>
      <c r="D2" s="8">
        <v>0.73326322399999999</v>
      </c>
      <c r="E2">
        <v>1.3422236409999999</v>
      </c>
    </row>
    <row r="3" spans="1:5" x14ac:dyDescent="0.25">
      <c r="A3" s="5">
        <v>46022</v>
      </c>
      <c r="B3" t="s">
        <v>51</v>
      </c>
      <c r="C3" s="8" t="s">
        <v>25</v>
      </c>
      <c r="D3" s="8">
        <v>0.171157165</v>
      </c>
      <c r="E3">
        <v>8.2951859999999995E-3</v>
      </c>
    </row>
    <row r="4" spans="1:5" x14ac:dyDescent="0.25">
      <c r="A4" s="5">
        <v>46022</v>
      </c>
      <c r="B4" t="s">
        <v>51</v>
      </c>
      <c r="C4" s="8" t="s">
        <v>26</v>
      </c>
      <c r="D4" s="8">
        <v>4.2942231999999997E-2</v>
      </c>
      <c r="E4">
        <v>9.0273676999999997E-2</v>
      </c>
    </row>
    <row r="5" spans="1:5" x14ac:dyDescent="0.25">
      <c r="A5" s="5">
        <v>46022</v>
      </c>
      <c r="B5" t="s">
        <v>51</v>
      </c>
      <c r="C5" s="8" t="s">
        <v>27</v>
      </c>
      <c r="D5" s="8">
        <v>1.4673799999999999E-4</v>
      </c>
      <c r="E5">
        <v>-0.27323962899999998</v>
      </c>
    </row>
    <row r="6" spans="1:5" x14ac:dyDescent="0.25">
      <c r="A6" s="5">
        <v>46022</v>
      </c>
      <c r="B6" t="s">
        <v>51</v>
      </c>
      <c r="C6" s="8" t="s">
        <v>49</v>
      </c>
      <c r="D6" s="8">
        <v>5.2490640999999998E-2</v>
      </c>
      <c r="E6">
        <v>-0.16755287399999999</v>
      </c>
    </row>
    <row r="8" spans="1:5" x14ac:dyDescent="0.25">
      <c r="A8" s="5">
        <v>46053</v>
      </c>
      <c r="B8" t="s">
        <v>51</v>
      </c>
      <c r="C8" s="8" t="s">
        <v>24</v>
      </c>
      <c r="D8" s="8">
        <v>0.73129760200000005</v>
      </c>
      <c r="E8" s="14">
        <v>8.3999999999999995E-3</v>
      </c>
    </row>
    <row r="9" spans="1:5" x14ac:dyDescent="0.25">
      <c r="A9" s="5">
        <v>46053</v>
      </c>
      <c r="B9" t="s">
        <v>51</v>
      </c>
      <c r="C9" s="8" t="s">
        <v>25</v>
      </c>
      <c r="D9" s="8">
        <v>0.17546244599999999</v>
      </c>
      <c r="E9" s="14">
        <v>3.3999999999999998E-3</v>
      </c>
    </row>
    <row r="10" spans="1:5" x14ac:dyDescent="0.25">
      <c r="A10" s="5">
        <v>46053</v>
      </c>
      <c r="B10" t="s">
        <v>51</v>
      </c>
      <c r="C10" s="8" t="s">
        <v>26</v>
      </c>
      <c r="D10" s="8">
        <v>4.3284685000000003E-2</v>
      </c>
      <c r="E10" s="14">
        <v>1E-4</v>
      </c>
    </row>
    <row r="11" spans="1:5" x14ac:dyDescent="0.25">
      <c r="A11" s="5">
        <v>46053</v>
      </c>
      <c r="B11" t="s">
        <v>51</v>
      </c>
      <c r="C11" s="8" t="s">
        <v>27</v>
      </c>
      <c r="D11" s="8">
        <v>6.8236299999999996E-4</v>
      </c>
      <c r="E11" s="14">
        <v>-2.9999999999999997E-4</v>
      </c>
    </row>
    <row r="12" spans="1:5" x14ac:dyDescent="0.25">
      <c r="A12" s="5">
        <v>46053</v>
      </c>
      <c r="B12" t="s">
        <v>51</v>
      </c>
      <c r="C12" s="8" t="s">
        <v>49</v>
      </c>
      <c r="D12" s="8">
        <v>4.9272903999999999E-2</v>
      </c>
      <c r="E12" s="14">
        <v>-3.5000000000000001E-3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F5A44-8B26-4377-AC01-E2E6B8EEC9CB}">
  <dimension ref="A1:D26"/>
  <sheetViews>
    <sheetView topLeftCell="A5" workbookViewId="0">
      <selection activeCell="K24" sqref="K24"/>
    </sheetView>
  </sheetViews>
  <sheetFormatPr defaultRowHeight="15" x14ac:dyDescent="0.25"/>
  <cols>
    <col min="1" max="1" width="10.42578125" bestFit="1" customWidth="1"/>
    <col min="2" max="2" width="12.5703125" bestFit="1" customWidth="1"/>
    <col min="3" max="3" width="25.85546875" bestFit="1" customWidth="1"/>
  </cols>
  <sheetData>
    <row r="1" spans="1:4" x14ac:dyDescent="0.25">
      <c r="A1" t="s">
        <v>0</v>
      </c>
      <c r="B1" t="s">
        <v>7</v>
      </c>
      <c r="C1" t="s">
        <v>14</v>
      </c>
      <c r="D1" t="s">
        <v>8</v>
      </c>
    </row>
    <row r="2" spans="1:4" x14ac:dyDescent="0.25">
      <c r="A2" s="5">
        <v>46022</v>
      </c>
      <c r="B2" t="s">
        <v>9</v>
      </c>
      <c r="C2" s="8" t="s">
        <v>28</v>
      </c>
      <c r="D2" s="9">
        <v>0.20703616999999999</v>
      </c>
    </row>
    <row r="3" spans="1:4" x14ac:dyDescent="0.25">
      <c r="A3" s="5">
        <v>46022</v>
      </c>
      <c r="B3" t="s">
        <v>9</v>
      </c>
      <c r="C3" s="8" t="s">
        <v>29</v>
      </c>
      <c r="D3" s="9">
        <v>0.19904634099999999</v>
      </c>
    </row>
    <row r="4" spans="1:4" x14ac:dyDescent="0.25">
      <c r="A4" s="5">
        <v>46022</v>
      </c>
      <c r="B4" t="s">
        <v>9</v>
      </c>
      <c r="C4" s="8" t="s">
        <v>30</v>
      </c>
      <c r="D4" s="9">
        <v>4.9406629999999997E-3</v>
      </c>
    </row>
    <row r="5" spans="1:4" x14ac:dyDescent="0.25">
      <c r="A5" s="5">
        <v>46022</v>
      </c>
      <c r="B5" t="s">
        <v>9</v>
      </c>
      <c r="C5" s="8" t="s">
        <v>31</v>
      </c>
      <c r="D5" s="9">
        <v>0.58897682600000001</v>
      </c>
    </row>
    <row r="8" spans="1:4" x14ac:dyDescent="0.25">
      <c r="A8" s="5">
        <v>46053</v>
      </c>
      <c r="B8" t="s">
        <v>9</v>
      </c>
      <c r="C8" s="8" t="s">
        <v>28</v>
      </c>
      <c r="D8">
        <v>0.19848152099999999</v>
      </c>
    </row>
    <row r="9" spans="1:4" x14ac:dyDescent="0.25">
      <c r="A9" s="5">
        <v>46053</v>
      </c>
      <c r="B9" t="s">
        <v>9</v>
      </c>
      <c r="C9" s="8" t="s">
        <v>29</v>
      </c>
      <c r="D9">
        <v>0.19922291</v>
      </c>
    </row>
    <row r="10" spans="1:4" x14ac:dyDescent="0.25">
      <c r="A10" s="5">
        <v>46053</v>
      </c>
      <c r="B10" t="s">
        <v>9</v>
      </c>
      <c r="C10" s="8" t="s">
        <v>30</v>
      </c>
      <c r="D10">
        <v>4.8744620000000004E-3</v>
      </c>
    </row>
    <row r="11" spans="1:4" x14ac:dyDescent="0.25">
      <c r="A11" s="5">
        <v>46053</v>
      </c>
      <c r="B11" t="s">
        <v>9</v>
      </c>
      <c r="C11" s="8" t="s">
        <v>31</v>
      </c>
      <c r="D11">
        <v>0.58084227899999996</v>
      </c>
    </row>
    <row r="13" spans="1:4" x14ac:dyDescent="0.25">
      <c r="A13" s="43">
        <v>46081</v>
      </c>
      <c r="B13" t="s">
        <v>9</v>
      </c>
      <c r="C13" t="s">
        <v>28</v>
      </c>
      <c r="D13">
        <v>0.187962983</v>
      </c>
    </row>
    <row r="14" spans="1:4" x14ac:dyDescent="0.25">
      <c r="A14" s="43">
        <v>46081</v>
      </c>
      <c r="B14" t="s">
        <v>9</v>
      </c>
      <c r="C14" t="s">
        <v>29</v>
      </c>
      <c r="D14">
        <v>0.210260117</v>
      </c>
    </row>
    <row r="15" spans="1:4" x14ac:dyDescent="0.25">
      <c r="A15" s="43">
        <v>46081</v>
      </c>
      <c r="B15" t="s">
        <v>9</v>
      </c>
      <c r="C15" t="s">
        <v>126</v>
      </c>
      <c r="D15">
        <v>4.9739579999999997E-3</v>
      </c>
    </row>
    <row r="16" spans="1:4" x14ac:dyDescent="0.25">
      <c r="A16" s="43">
        <v>46081</v>
      </c>
      <c r="B16" t="s">
        <v>9</v>
      </c>
      <c r="C16" t="s">
        <v>31</v>
      </c>
      <c r="D16">
        <v>0.58456854999999996</v>
      </c>
    </row>
    <row r="18" spans="1:4" x14ac:dyDescent="0.25">
      <c r="A18" s="43">
        <v>46112</v>
      </c>
      <c r="B18" t="s">
        <v>9</v>
      </c>
      <c r="C18" t="s">
        <v>28</v>
      </c>
      <c r="D18">
        <v>0.186331355</v>
      </c>
    </row>
    <row r="19" spans="1:4" x14ac:dyDescent="0.25">
      <c r="A19" s="43">
        <v>46112</v>
      </c>
      <c r="B19" t="s">
        <v>9</v>
      </c>
      <c r="C19" t="s">
        <v>29</v>
      </c>
      <c r="D19">
        <v>0.21541813000000001</v>
      </c>
    </row>
    <row r="20" spans="1:4" x14ac:dyDescent="0.25">
      <c r="A20" s="43">
        <v>46112</v>
      </c>
      <c r="B20" t="s">
        <v>9</v>
      </c>
      <c r="C20" t="s">
        <v>126</v>
      </c>
      <c r="D20">
        <v>5.1680609999999998E-3</v>
      </c>
    </row>
    <row r="21" spans="1:4" x14ac:dyDescent="0.25">
      <c r="A21" s="43">
        <v>46112</v>
      </c>
      <c r="B21" t="s">
        <v>9</v>
      </c>
      <c r="C21" t="s">
        <v>31</v>
      </c>
      <c r="D21">
        <v>0.59308245400000004</v>
      </c>
    </row>
    <row r="23" spans="1:4" x14ac:dyDescent="0.25">
      <c r="A23" s="43">
        <v>46142</v>
      </c>
      <c r="B23" t="s">
        <v>9</v>
      </c>
      <c r="C23" t="s">
        <v>28</v>
      </c>
      <c r="D23">
        <v>0.186648763</v>
      </c>
    </row>
    <row r="24" spans="1:4" x14ac:dyDescent="0.25">
      <c r="A24" s="43">
        <v>46142</v>
      </c>
      <c r="B24" t="s">
        <v>9</v>
      </c>
      <c r="C24" t="s">
        <v>29</v>
      </c>
      <c r="D24">
        <v>0.214578451</v>
      </c>
    </row>
    <row r="25" spans="1:4" x14ac:dyDescent="0.25">
      <c r="A25" s="43">
        <v>46142</v>
      </c>
      <c r="B25" t="s">
        <v>9</v>
      </c>
      <c r="C25" t="s">
        <v>126</v>
      </c>
      <c r="D25">
        <v>5.0885540000000003E-3</v>
      </c>
    </row>
    <row r="26" spans="1:4" x14ac:dyDescent="0.25">
      <c r="A26" s="43">
        <v>46142</v>
      </c>
      <c r="B26" t="s">
        <v>9</v>
      </c>
      <c r="C26" t="s">
        <v>31</v>
      </c>
      <c r="D26">
        <v>0.59368423199999998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3A309-C66E-411C-B223-F69457EC1277}">
  <dimension ref="A1:D56"/>
  <sheetViews>
    <sheetView topLeftCell="A26" workbookViewId="0">
      <selection activeCell="W34" sqref="W34"/>
    </sheetView>
  </sheetViews>
  <sheetFormatPr defaultRowHeight="15" x14ac:dyDescent="0.25"/>
  <cols>
    <col min="1" max="1" width="10.42578125" bestFit="1" customWidth="1"/>
    <col min="2" max="2" width="12.5703125" bestFit="1" customWidth="1"/>
    <col min="3" max="3" width="25.85546875" bestFit="1" customWidth="1"/>
  </cols>
  <sheetData>
    <row r="1" spans="1:4" x14ac:dyDescent="0.25">
      <c r="A1" t="s">
        <v>0</v>
      </c>
      <c r="B1" t="s">
        <v>7</v>
      </c>
      <c r="C1" t="s">
        <v>14</v>
      </c>
      <c r="D1" t="s">
        <v>8</v>
      </c>
    </row>
    <row r="2" spans="1:4" x14ac:dyDescent="0.25">
      <c r="A2" s="5">
        <v>46022</v>
      </c>
      <c r="B2" t="s">
        <v>46</v>
      </c>
      <c r="C2" s="8" t="s">
        <v>36</v>
      </c>
      <c r="D2" s="9">
        <v>0.1</v>
      </c>
    </row>
    <row r="3" spans="1:4" x14ac:dyDescent="0.25">
      <c r="A3" s="5">
        <v>46022</v>
      </c>
      <c r="B3" t="s">
        <v>46</v>
      </c>
      <c r="C3" s="8" t="s">
        <v>37</v>
      </c>
      <c r="D3" s="9">
        <v>0.1</v>
      </c>
    </row>
    <row r="4" spans="1:4" x14ac:dyDescent="0.25">
      <c r="A4" s="5">
        <v>46022</v>
      </c>
      <c r="B4" t="s">
        <v>46</v>
      </c>
      <c r="C4" s="8" t="s">
        <v>38</v>
      </c>
      <c r="D4" s="9">
        <v>0.1</v>
      </c>
    </row>
    <row r="5" spans="1:4" x14ac:dyDescent="0.25">
      <c r="A5" s="5">
        <v>46022</v>
      </c>
      <c r="B5" t="s">
        <v>46</v>
      </c>
      <c r="C5" s="8" t="s">
        <v>39</v>
      </c>
      <c r="D5" s="9">
        <v>0.1</v>
      </c>
    </row>
    <row r="6" spans="1:4" x14ac:dyDescent="0.25">
      <c r="A6" s="5">
        <v>46022</v>
      </c>
      <c r="B6" t="s">
        <v>46</v>
      </c>
      <c r="C6" s="8" t="s">
        <v>40</v>
      </c>
      <c r="D6" s="9">
        <v>0.1</v>
      </c>
    </row>
    <row r="7" spans="1:4" x14ac:dyDescent="0.25">
      <c r="A7" s="5">
        <v>46022</v>
      </c>
      <c r="B7" t="s">
        <v>46</v>
      </c>
      <c r="C7" s="8" t="s">
        <v>41</v>
      </c>
      <c r="D7" s="9">
        <v>0.1</v>
      </c>
    </row>
    <row r="8" spans="1:4" x14ac:dyDescent="0.25">
      <c r="A8" s="5">
        <v>46022</v>
      </c>
      <c r="B8" t="s">
        <v>46</v>
      </c>
      <c r="C8" s="8" t="s">
        <v>42</v>
      </c>
      <c r="D8" s="9">
        <v>0.1</v>
      </c>
    </row>
    <row r="9" spans="1:4" x14ac:dyDescent="0.25">
      <c r="A9" s="5">
        <v>46022</v>
      </c>
      <c r="B9" t="s">
        <v>46</v>
      </c>
      <c r="C9" s="8" t="s">
        <v>43</v>
      </c>
      <c r="D9" s="9">
        <v>0.1</v>
      </c>
    </row>
    <row r="10" spans="1:4" x14ac:dyDescent="0.25">
      <c r="A10" s="5">
        <v>46022</v>
      </c>
      <c r="B10" t="s">
        <v>46</v>
      </c>
      <c r="C10" s="8" t="s">
        <v>44</v>
      </c>
      <c r="D10" s="9">
        <v>0.1</v>
      </c>
    </row>
    <row r="11" spans="1:4" x14ac:dyDescent="0.25">
      <c r="A11" s="5">
        <v>46022</v>
      </c>
      <c r="B11" t="s">
        <v>46</v>
      </c>
      <c r="C11" s="8" t="s">
        <v>45</v>
      </c>
      <c r="D11" s="9">
        <v>0.1</v>
      </c>
    </row>
    <row r="14" spans="1:4" x14ac:dyDescent="0.25">
      <c r="A14" s="5">
        <v>46053</v>
      </c>
      <c r="B14" t="s">
        <v>46</v>
      </c>
      <c r="C14" s="8" t="s">
        <v>36</v>
      </c>
      <c r="D14" s="9">
        <v>0.1</v>
      </c>
    </row>
    <row r="15" spans="1:4" x14ac:dyDescent="0.25">
      <c r="A15" s="5">
        <v>46053</v>
      </c>
      <c r="B15" t="s">
        <v>46</v>
      </c>
      <c r="C15" s="8" t="s">
        <v>37</v>
      </c>
      <c r="D15" s="9">
        <v>0.1</v>
      </c>
    </row>
    <row r="16" spans="1:4" x14ac:dyDescent="0.25">
      <c r="A16" s="5">
        <v>46053</v>
      </c>
      <c r="B16" t="s">
        <v>46</v>
      </c>
      <c r="C16" s="8" t="s">
        <v>38</v>
      </c>
      <c r="D16" s="9">
        <v>0.1</v>
      </c>
    </row>
    <row r="17" spans="1:4" x14ac:dyDescent="0.25">
      <c r="A17" s="5">
        <v>46053</v>
      </c>
      <c r="B17" t="s">
        <v>46</v>
      </c>
      <c r="C17" s="8" t="s">
        <v>39</v>
      </c>
      <c r="D17" s="9">
        <v>0.1</v>
      </c>
    </row>
    <row r="18" spans="1:4" x14ac:dyDescent="0.25">
      <c r="A18" s="5">
        <v>46053</v>
      </c>
      <c r="B18" t="s">
        <v>46</v>
      </c>
      <c r="C18" s="8" t="s">
        <v>40</v>
      </c>
      <c r="D18" s="9">
        <v>0.1</v>
      </c>
    </row>
    <row r="19" spans="1:4" x14ac:dyDescent="0.25">
      <c r="A19" s="5">
        <v>46053</v>
      </c>
      <c r="B19" t="s">
        <v>46</v>
      </c>
      <c r="C19" s="8" t="s">
        <v>41</v>
      </c>
      <c r="D19" s="9">
        <v>0.1</v>
      </c>
    </row>
    <row r="20" spans="1:4" x14ac:dyDescent="0.25">
      <c r="A20" s="5">
        <v>46053</v>
      </c>
      <c r="B20" t="s">
        <v>46</v>
      </c>
      <c r="C20" s="8" t="s">
        <v>54</v>
      </c>
      <c r="D20" s="9">
        <v>0.1</v>
      </c>
    </row>
    <row r="21" spans="1:4" x14ac:dyDescent="0.25">
      <c r="A21" s="5">
        <v>46053</v>
      </c>
      <c r="B21" t="s">
        <v>46</v>
      </c>
      <c r="C21" s="8" t="s">
        <v>55</v>
      </c>
      <c r="D21" s="9">
        <v>0.1</v>
      </c>
    </row>
    <row r="22" spans="1:4" x14ac:dyDescent="0.25">
      <c r="A22" s="5">
        <v>46053</v>
      </c>
      <c r="B22" t="s">
        <v>46</v>
      </c>
      <c r="C22" s="8" t="s">
        <v>44</v>
      </c>
      <c r="D22" s="9">
        <v>0.1</v>
      </c>
    </row>
    <row r="23" spans="1:4" x14ac:dyDescent="0.25">
      <c r="A23" s="5">
        <v>46053</v>
      </c>
      <c r="B23" t="s">
        <v>46</v>
      </c>
      <c r="C23" s="8" t="s">
        <v>45</v>
      </c>
      <c r="D23" s="9">
        <v>0.1</v>
      </c>
    </row>
    <row r="25" spans="1:4" x14ac:dyDescent="0.25">
      <c r="A25" s="5">
        <v>46081</v>
      </c>
      <c r="B25" t="s">
        <v>46</v>
      </c>
      <c r="C25" s="8" t="s">
        <v>36</v>
      </c>
      <c r="D25" s="9">
        <v>0.1</v>
      </c>
    </row>
    <row r="26" spans="1:4" x14ac:dyDescent="0.25">
      <c r="A26" s="5">
        <v>46081</v>
      </c>
      <c r="B26" t="s">
        <v>46</v>
      </c>
      <c r="C26" s="8" t="s">
        <v>37</v>
      </c>
      <c r="D26" s="9">
        <v>0.1</v>
      </c>
    </row>
    <row r="27" spans="1:4" x14ac:dyDescent="0.25">
      <c r="A27" s="5">
        <v>46081</v>
      </c>
      <c r="B27" t="s">
        <v>46</v>
      </c>
      <c r="C27" s="8" t="s">
        <v>38</v>
      </c>
      <c r="D27" s="9">
        <v>0.1</v>
      </c>
    </row>
    <row r="28" spans="1:4" x14ac:dyDescent="0.25">
      <c r="A28" s="5">
        <v>46081</v>
      </c>
      <c r="B28" t="s">
        <v>46</v>
      </c>
      <c r="C28" s="8" t="s">
        <v>39</v>
      </c>
      <c r="D28" s="9">
        <v>0.1</v>
      </c>
    </row>
    <row r="29" spans="1:4" x14ac:dyDescent="0.25">
      <c r="A29" s="5">
        <v>46081</v>
      </c>
      <c r="B29" t="s">
        <v>46</v>
      </c>
      <c r="C29" s="8" t="s">
        <v>40</v>
      </c>
      <c r="D29" s="9">
        <v>0.1</v>
      </c>
    </row>
    <row r="30" spans="1:4" x14ac:dyDescent="0.25">
      <c r="A30" s="5">
        <v>46081</v>
      </c>
      <c r="B30" t="s">
        <v>46</v>
      </c>
      <c r="C30" s="8" t="s">
        <v>41</v>
      </c>
      <c r="D30" s="9">
        <v>0.1</v>
      </c>
    </row>
    <row r="31" spans="1:4" x14ac:dyDescent="0.25">
      <c r="A31" s="5">
        <v>46081</v>
      </c>
      <c r="B31" t="s">
        <v>46</v>
      </c>
      <c r="C31" s="8" t="s">
        <v>54</v>
      </c>
      <c r="D31" s="9">
        <v>0.1</v>
      </c>
    </row>
    <row r="32" spans="1:4" x14ac:dyDescent="0.25">
      <c r="A32" s="5">
        <v>46081</v>
      </c>
      <c r="B32" t="s">
        <v>46</v>
      </c>
      <c r="C32" s="8" t="s">
        <v>55</v>
      </c>
      <c r="D32" s="9">
        <v>0.1</v>
      </c>
    </row>
    <row r="33" spans="1:4" x14ac:dyDescent="0.25">
      <c r="A33" s="5">
        <v>46081</v>
      </c>
      <c r="B33" t="s">
        <v>46</v>
      </c>
      <c r="C33" s="8" t="s">
        <v>44</v>
      </c>
      <c r="D33" s="9">
        <v>0.1</v>
      </c>
    </row>
    <row r="34" spans="1:4" x14ac:dyDescent="0.25">
      <c r="A34" s="5">
        <v>46081</v>
      </c>
      <c r="B34" t="s">
        <v>46</v>
      </c>
      <c r="C34" s="8" t="s">
        <v>45</v>
      </c>
      <c r="D34" s="9">
        <v>0.1</v>
      </c>
    </row>
    <row r="36" spans="1:4" x14ac:dyDescent="0.25">
      <c r="A36" s="5">
        <v>46112</v>
      </c>
      <c r="B36" t="s">
        <v>46</v>
      </c>
      <c r="C36" s="8" t="s">
        <v>36</v>
      </c>
      <c r="D36" s="9">
        <v>0.1</v>
      </c>
    </row>
    <row r="37" spans="1:4" x14ac:dyDescent="0.25">
      <c r="A37" s="5">
        <v>46112</v>
      </c>
      <c r="B37" t="s">
        <v>46</v>
      </c>
      <c r="C37" s="8" t="s">
        <v>37</v>
      </c>
      <c r="D37" s="9">
        <v>0.1</v>
      </c>
    </row>
    <row r="38" spans="1:4" x14ac:dyDescent="0.25">
      <c r="A38" s="5">
        <v>46112</v>
      </c>
      <c r="B38" t="s">
        <v>46</v>
      </c>
      <c r="C38" s="8" t="s">
        <v>38</v>
      </c>
      <c r="D38" s="9">
        <v>0.1</v>
      </c>
    </row>
    <row r="39" spans="1:4" x14ac:dyDescent="0.25">
      <c r="A39" s="5">
        <v>46112</v>
      </c>
      <c r="B39" t="s">
        <v>46</v>
      </c>
      <c r="C39" s="8" t="s">
        <v>39</v>
      </c>
      <c r="D39" s="9">
        <v>0.1</v>
      </c>
    </row>
    <row r="40" spans="1:4" x14ac:dyDescent="0.25">
      <c r="A40" s="5">
        <v>46112</v>
      </c>
      <c r="B40" t="s">
        <v>46</v>
      </c>
      <c r="C40" s="8" t="s">
        <v>40</v>
      </c>
      <c r="D40" s="9">
        <v>0.1</v>
      </c>
    </row>
    <row r="41" spans="1:4" x14ac:dyDescent="0.25">
      <c r="A41" s="5">
        <v>46112</v>
      </c>
      <c r="B41" t="s">
        <v>46</v>
      </c>
      <c r="C41" s="8" t="s">
        <v>41</v>
      </c>
      <c r="D41" s="9">
        <v>0.1</v>
      </c>
    </row>
    <row r="42" spans="1:4" x14ac:dyDescent="0.25">
      <c r="A42" s="5">
        <v>46112</v>
      </c>
      <c r="B42" t="s">
        <v>46</v>
      </c>
      <c r="C42" s="8" t="s">
        <v>54</v>
      </c>
      <c r="D42" s="9">
        <v>0.1</v>
      </c>
    </row>
    <row r="43" spans="1:4" x14ac:dyDescent="0.25">
      <c r="A43" s="5">
        <v>46112</v>
      </c>
      <c r="B43" t="s">
        <v>46</v>
      </c>
      <c r="C43" s="8" t="s">
        <v>55</v>
      </c>
      <c r="D43" s="9">
        <v>0.1</v>
      </c>
    </row>
    <row r="44" spans="1:4" x14ac:dyDescent="0.25">
      <c r="A44" s="5">
        <v>46112</v>
      </c>
      <c r="B44" t="s">
        <v>46</v>
      </c>
      <c r="C44" s="8" t="s">
        <v>44</v>
      </c>
      <c r="D44" s="9">
        <v>0.1</v>
      </c>
    </row>
    <row r="45" spans="1:4" x14ac:dyDescent="0.25">
      <c r="A45" s="5">
        <v>46112</v>
      </c>
      <c r="B45" t="s">
        <v>46</v>
      </c>
      <c r="C45" s="8" t="s">
        <v>45</v>
      </c>
      <c r="D45" s="9">
        <v>0.1</v>
      </c>
    </row>
    <row r="47" spans="1:4" x14ac:dyDescent="0.25">
      <c r="A47" s="5">
        <v>46142</v>
      </c>
      <c r="B47" t="s">
        <v>46</v>
      </c>
      <c r="C47" s="8" t="s">
        <v>36</v>
      </c>
      <c r="D47" s="9">
        <v>0.1</v>
      </c>
    </row>
    <row r="48" spans="1:4" x14ac:dyDescent="0.25">
      <c r="A48" s="5">
        <v>46142</v>
      </c>
      <c r="B48" t="s">
        <v>46</v>
      </c>
      <c r="C48" s="8" t="s">
        <v>37</v>
      </c>
      <c r="D48" s="9">
        <v>0.1</v>
      </c>
    </row>
    <row r="49" spans="1:4" x14ac:dyDescent="0.25">
      <c r="A49" s="5">
        <v>46142</v>
      </c>
      <c r="B49" t="s">
        <v>46</v>
      </c>
      <c r="C49" s="8" t="s">
        <v>38</v>
      </c>
      <c r="D49" s="9">
        <v>0.1</v>
      </c>
    </row>
    <row r="50" spans="1:4" x14ac:dyDescent="0.25">
      <c r="A50" s="5">
        <v>46142</v>
      </c>
      <c r="B50" t="s">
        <v>46</v>
      </c>
      <c r="C50" s="8" t="s">
        <v>39</v>
      </c>
      <c r="D50" s="9">
        <v>0.1</v>
      </c>
    </row>
    <row r="51" spans="1:4" x14ac:dyDescent="0.25">
      <c r="A51" s="5">
        <v>46142</v>
      </c>
      <c r="B51" t="s">
        <v>46</v>
      </c>
      <c r="C51" s="8" t="s">
        <v>40</v>
      </c>
      <c r="D51" s="9">
        <v>0.1</v>
      </c>
    </row>
    <row r="52" spans="1:4" x14ac:dyDescent="0.25">
      <c r="A52" s="5">
        <v>46142</v>
      </c>
      <c r="B52" t="s">
        <v>46</v>
      </c>
      <c r="C52" s="8" t="s">
        <v>41</v>
      </c>
      <c r="D52" s="9">
        <v>0.1</v>
      </c>
    </row>
    <row r="53" spans="1:4" x14ac:dyDescent="0.25">
      <c r="A53" s="5">
        <v>46142</v>
      </c>
      <c r="B53" t="s">
        <v>46</v>
      </c>
      <c r="C53" s="8" t="s">
        <v>54</v>
      </c>
      <c r="D53" s="9">
        <v>0.1</v>
      </c>
    </row>
    <row r="54" spans="1:4" x14ac:dyDescent="0.25">
      <c r="A54" s="5">
        <v>46142</v>
      </c>
      <c r="B54" t="s">
        <v>46</v>
      </c>
      <c r="C54" s="8" t="s">
        <v>55</v>
      </c>
      <c r="D54" s="9">
        <v>0.1</v>
      </c>
    </row>
    <row r="55" spans="1:4" x14ac:dyDescent="0.25">
      <c r="A55" s="5">
        <v>46142</v>
      </c>
      <c r="B55" t="s">
        <v>46</v>
      </c>
      <c r="C55" s="8" t="s">
        <v>44</v>
      </c>
      <c r="D55" s="9">
        <v>0.1</v>
      </c>
    </row>
    <row r="56" spans="1:4" x14ac:dyDescent="0.25">
      <c r="A56" s="5">
        <v>46142</v>
      </c>
      <c r="B56" t="s">
        <v>46</v>
      </c>
      <c r="C56" s="8" t="s">
        <v>45</v>
      </c>
      <c r="D56" s="9">
        <v>0.1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B04E2-D146-4E1A-A626-8B9AE1AB3B4E}">
  <dimension ref="A1:D55"/>
  <sheetViews>
    <sheetView topLeftCell="A26" workbookViewId="0">
      <selection activeCell="A46" sqref="A46:A55"/>
    </sheetView>
  </sheetViews>
  <sheetFormatPr defaultRowHeight="15" x14ac:dyDescent="0.25"/>
  <cols>
    <col min="1" max="1" width="10.42578125" bestFit="1" customWidth="1"/>
    <col min="2" max="2" width="10.7109375" bestFit="1" customWidth="1"/>
    <col min="3" max="3" width="11.5703125" bestFit="1" customWidth="1"/>
  </cols>
  <sheetData>
    <row r="1" spans="1:4" x14ac:dyDescent="0.25">
      <c r="A1" t="s">
        <v>0</v>
      </c>
      <c r="B1" t="s">
        <v>7</v>
      </c>
      <c r="C1" t="s">
        <v>14</v>
      </c>
      <c r="D1" t="s">
        <v>8</v>
      </c>
    </row>
    <row r="2" spans="1:4" x14ac:dyDescent="0.25">
      <c r="A2" s="5">
        <v>46022</v>
      </c>
      <c r="B2" t="s">
        <v>47</v>
      </c>
      <c r="C2" s="8" t="s">
        <v>36</v>
      </c>
      <c r="D2" s="9">
        <v>0.1</v>
      </c>
    </row>
    <row r="3" spans="1:4" x14ac:dyDescent="0.25">
      <c r="A3" s="5">
        <v>46022</v>
      </c>
      <c r="B3" t="s">
        <v>47</v>
      </c>
      <c r="C3" s="8" t="s">
        <v>37</v>
      </c>
      <c r="D3" s="9">
        <v>0.1</v>
      </c>
    </row>
    <row r="4" spans="1:4" x14ac:dyDescent="0.25">
      <c r="A4" s="5">
        <v>46022</v>
      </c>
      <c r="B4" t="s">
        <v>47</v>
      </c>
      <c r="C4" s="8" t="s">
        <v>38</v>
      </c>
      <c r="D4" s="9">
        <v>0.1</v>
      </c>
    </row>
    <row r="5" spans="1:4" x14ac:dyDescent="0.25">
      <c r="A5" s="5">
        <v>46022</v>
      </c>
      <c r="B5" t="s">
        <v>47</v>
      </c>
      <c r="C5" s="8" t="s">
        <v>39</v>
      </c>
      <c r="D5" s="9">
        <v>0.1</v>
      </c>
    </row>
    <row r="6" spans="1:4" x14ac:dyDescent="0.25">
      <c r="A6" s="5">
        <v>46022</v>
      </c>
      <c r="B6" t="s">
        <v>47</v>
      </c>
      <c r="C6" s="8" t="s">
        <v>40</v>
      </c>
      <c r="D6" s="9">
        <v>0.1</v>
      </c>
    </row>
    <row r="7" spans="1:4" x14ac:dyDescent="0.25">
      <c r="A7" s="5">
        <v>46022</v>
      </c>
      <c r="B7" t="s">
        <v>47</v>
      </c>
      <c r="C7" s="8" t="s">
        <v>41</v>
      </c>
      <c r="D7" s="9">
        <v>0.1</v>
      </c>
    </row>
    <row r="8" spans="1:4" x14ac:dyDescent="0.25">
      <c r="A8" s="5">
        <v>46022</v>
      </c>
      <c r="B8" t="s">
        <v>47</v>
      </c>
      <c r="C8" s="8" t="s">
        <v>42</v>
      </c>
      <c r="D8" s="9">
        <v>0.1</v>
      </c>
    </row>
    <row r="9" spans="1:4" x14ac:dyDescent="0.25">
      <c r="A9" s="5">
        <v>46022</v>
      </c>
      <c r="B9" t="s">
        <v>47</v>
      </c>
      <c r="C9" s="8" t="s">
        <v>43</v>
      </c>
      <c r="D9" s="9">
        <v>0.1</v>
      </c>
    </row>
    <row r="10" spans="1:4" x14ac:dyDescent="0.25">
      <c r="A10" s="5">
        <v>46022</v>
      </c>
      <c r="B10" t="s">
        <v>47</v>
      </c>
      <c r="C10" s="8" t="s">
        <v>44</v>
      </c>
      <c r="D10" s="9">
        <v>0.1</v>
      </c>
    </row>
    <row r="11" spans="1:4" x14ac:dyDescent="0.25">
      <c r="A11" s="5">
        <v>46022</v>
      </c>
      <c r="B11" t="s">
        <v>47</v>
      </c>
      <c r="C11" s="8" t="s">
        <v>45</v>
      </c>
      <c r="D11" s="9">
        <v>0.1</v>
      </c>
    </row>
    <row r="13" spans="1:4" x14ac:dyDescent="0.25">
      <c r="A13" s="5">
        <v>46053</v>
      </c>
      <c r="B13" t="s">
        <v>47</v>
      </c>
      <c r="C13" s="8" t="s">
        <v>36</v>
      </c>
      <c r="D13" s="9">
        <v>0.1</v>
      </c>
    </row>
    <row r="14" spans="1:4" x14ac:dyDescent="0.25">
      <c r="A14" s="5">
        <v>46053</v>
      </c>
      <c r="B14" t="s">
        <v>47</v>
      </c>
      <c r="C14" s="8" t="s">
        <v>37</v>
      </c>
      <c r="D14" s="9">
        <v>0.1</v>
      </c>
    </row>
    <row r="15" spans="1:4" x14ac:dyDescent="0.25">
      <c r="A15" s="5">
        <v>46053</v>
      </c>
      <c r="B15" t="s">
        <v>47</v>
      </c>
      <c r="C15" s="8" t="s">
        <v>38</v>
      </c>
      <c r="D15" s="9">
        <v>0.1</v>
      </c>
    </row>
    <row r="16" spans="1:4" x14ac:dyDescent="0.25">
      <c r="A16" s="5">
        <v>46053</v>
      </c>
      <c r="B16" t="s">
        <v>47</v>
      </c>
      <c r="C16" s="8" t="s">
        <v>39</v>
      </c>
      <c r="D16" s="9">
        <v>0.1</v>
      </c>
    </row>
    <row r="17" spans="1:4" x14ac:dyDescent="0.25">
      <c r="A17" s="5">
        <v>46053</v>
      </c>
      <c r="B17" t="s">
        <v>47</v>
      </c>
      <c r="C17" s="8" t="s">
        <v>40</v>
      </c>
      <c r="D17" s="9">
        <v>0.1</v>
      </c>
    </row>
    <row r="18" spans="1:4" x14ac:dyDescent="0.25">
      <c r="A18" s="5">
        <v>46053</v>
      </c>
      <c r="B18" t="s">
        <v>47</v>
      </c>
      <c r="C18" s="8" t="s">
        <v>41</v>
      </c>
      <c r="D18" s="9">
        <v>0.1</v>
      </c>
    </row>
    <row r="19" spans="1:4" x14ac:dyDescent="0.25">
      <c r="A19" s="5">
        <v>46053</v>
      </c>
      <c r="B19" t="s">
        <v>47</v>
      </c>
      <c r="C19" s="8" t="s">
        <v>54</v>
      </c>
      <c r="D19" s="9">
        <v>0.1</v>
      </c>
    </row>
    <row r="20" spans="1:4" x14ac:dyDescent="0.25">
      <c r="A20" s="5">
        <v>46053</v>
      </c>
      <c r="B20" t="s">
        <v>47</v>
      </c>
      <c r="C20" s="8" t="s">
        <v>55</v>
      </c>
      <c r="D20" s="9">
        <v>0.1</v>
      </c>
    </row>
    <row r="21" spans="1:4" x14ac:dyDescent="0.25">
      <c r="A21" s="5">
        <v>46053</v>
      </c>
      <c r="B21" t="s">
        <v>47</v>
      </c>
      <c r="C21" s="8" t="s">
        <v>44</v>
      </c>
      <c r="D21" s="9">
        <v>0.1</v>
      </c>
    </row>
    <row r="22" spans="1:4" x14ac:dyDescent="0.25">
      <c r="A22" s="5">
        <v>46053</v>
      </c>
      <c r="B22" t="s">
        <v>47</v>
      </c>
      <c r="C22" s="8" t="s">
        <v>45</v>
      </c>
      <c r="D22" s="9">
        <v>0.1</v>
      </c>
    </row>
    <row r="24" spans="1:4" x14ac:dyDescent="0.25">
      <c r="A24" s="5">
        <v>46081</v>
      </c>
      <c r="B24" t="s">
        <v>47</v>
      </c>
      <c r="C24" s="8" t="s">
        <v>36</v>
      </c>
      <c r="D24" s="9">
        <v>0.1</v>
      </c>
    </row>
    <row r="25" spans="1:4" x14ac:dyDescent="0.25">
      <c r="A25" s="5">
        <v>46081</v>
      </c>
      <c r="B25" t="s">
        <v>47</v>
      </c>
      <c r="C25" s="8" t="s">
        <v>37</v>
      </c>
      <c r="D25" s="9">
        <v>0.1</v>
      </c>
    </row>
    <row r="26" spans="1:4" x14ac:dyDescent="0.25">
      <c r="A26" s="5">
        <v>46081</v>
      </c>
      <c r="B26" t="s">
        <v>47</v>
      </c>
      <c r="C26" s="8" t="s">
        <v>38</v>
      </c>
      <c r="D26" s="9">
        <v>0.1</v>
      </c>
    </row>
    <row r="27" spans="1:4" x14ac:dyDescent="0.25">
      <c r="A27" s="5">
        <v>46081</v>
      </c>
      <c r="B27" t="s">
        <v>47</v>
      </c>
      <c r="C27" s="8" t="s">
        <v>39</v>
      </c>
      <c r="D27" s="9">
        <v>0.1</v>
      </c>
    </row>
    <row r="28" spans="1:4" x14ac:dyDescent="0.25">
      <c r="A28" s="5">
        <v>46081</v>
      </c>
      <c r="B28" t="s">
        <v>47</v>
      </c>
      <c r="C28" s="8" t="s">
        <v>40</v>
      </c>
      <c r="D28" s="9">
        <v>0.1</v>
      </c>
    </row>
    <row r="29" spans="1:4" x14ac:dyDescent="0.25">
      <c r="A29" s="5">
        <v>46081</v>
      </c>
      <c r="B29" t="s">
        <v>47</v>
      </c>
      <c r="C29" s="8" t="s">
        <v>41</v>
      </c>
      <c r="D29" s="9">
        <v>0.1</v>
      </c>
    </row>
    <row r="30" spans="1:4" x14ac:dyDescent="0.25">
      <c r="A30" s="5">
        <v>46081</v>
      </c>
      <c r="B30" t="s">
        <v>47</v>
      </c>
      <c r="C30" s="8" t="s">
        <v>54</v>
      </c>
      <c r="D30" s="9">
        <v>0.1</v>
      </c>
    </row>
    <row r="31" spans="1:4" x14ac:dyDescent="0.25">
      <c r="A31" s="5">
        <v>46081</v>
      </c>
      <c r="B31" t="s">
        <v>47</v>
      </c>
      <c r="C31" s="8" t="s">
        <v>55</v>
      </c>
      <c r="D31" s="9">
        <v>0.1</v>
      </c>
    </row>
    <row r="32" spans="1:4" x14ac:dyDescent="0.25">
      <c r="A32" s="5">
        <v>46081</v>
      </c>
      <c r="B32" t="s">
        <v>47</v>
      </c>
      <c r="C32" s="8" t="s">
        <v>44</v>
      </c>
      <c r="D32" s="9">
        <v>0.1</v>
      </c>
    </row>
    <row r="33" spans="1:4" x14ac:dyDescent="0.25">
      <c r="A33" s="5">
        <v>46081</v>
      </c>
      <c r="B33" t="s">
        <v>47</v>
      </c>
      <c r="C33" s="8" t="s">
        <v>45</v>
      </c>
      <c r="D33" s="9">
        <v>0.1</v>
      </c>
    </row>
    <row r="35" spans="1:4" x14ac:dyDescent="0.25">
      <c r="A35" s="5">
        <v>46112</v>
      </c>
      <c r="B35" t="s">
        <v>47</v>
      </c>
      <c r="C35" s="8" t="s">
        <v>36</v>
      </c>
      <c r="D35" s="9">
        <v>0.1</v>
      </c>
    </row>
    <row r="36" spans="1:4" x14ac:dyDescent="0.25">
      <c r="A36" s="5">
        <v>46112</v>
      </c>
      <c r="B36" t="s">
        <v>47</v>
      </c>
      <c r="C36" s="8" t="s">
        <v>37</v>
      </c>
      <c r="D36" s="9">
        <v>0.1</v>
      </c>
    </row>
    <row r="37" spans="1:4" x14ac:dyDescent="0.25">
      <c r="A37" s="5">
        <v>46112</v>
      </c>
      <c r="B37" t="s">
        <v>47</v>
      </c>
      <c r="C37" s="8" t="s">
        <v>38</v>
      </c>
      <c r="D37" s="9">
        <v>0.1</v>
      </c>
    </row>
    <row r="38" spans="1:4" x14ac:dyDescent="0.25">
      <c r="A38" s="5">
        <v>46112</v>
      </c>
      <c r="B38" t="s">
        <v>47</v>
      </c>
      <c r="C38" s="8" t="s">
        <v>39</v>
      </c>
      <c r="D38" s="9">
        <v>0.1</v>
      </c>
    </row>
    <row r="39" spans="1:4" x14ac:dyDescent="0.25">
      <c r="A39" s="5">
        <v>46112</v>
      </c>
      <c r="B39" t="s">
        <v>47</v>
      </c>
      <c r="C39" s="8" t="s">
        <v>40</v>
      </c>
      <c r="D39" s="9">
        <v>0.1</v>
      </c>
    </row>
    <row r="40" spans="1:4" x14ac:dyDescent="0.25">
      <c r="A40" s="5">
        <v>46112</v>
      </c>
      <c r="B40" t="s">
        <v>47</v>
      </c>
      <c r="C40" s="8" t="s">
        <v>41</v>
      </c>
      <c r="D40" s="9">
        <v>0.1</v>
      </c>
    </row>
    <row r="41" spans="1:4" x14ac:dyDescent="0.25">
      <c r="A41" s="5">
        <v>46112</v>
      </c>
      <c r="B41" t="s">
        <v>47</v>
      </c>
      <c r="C41" s="8" t="s">
        <v>54</v>
      </c>
      <c r="D41" s="9">
        <v>0.1</v>
      </c>
    </row>
    <row r="42" spans="1:4" x14ac:dyDescent="0.25">
      <c r="A42" s="5">
        <v>46112</v>
      </c>
      <c r="B42" t="s">
        <v>47</v>
      </c>
      <c r="C42" s="8" t="s">
        <v>55</v>
      </c>
      <c r="D42" s="9">
        <v>0.1</v>
      </c>
    </row>
    <row r="43" spans="1:4" x14ac:dyDescent="0.25">
      <c r="A43" s="5">
        <v>46112</v>
      </c>
      <c r="B43" t="s">
        <v>47</v>
      </c>
      <c r="C43" s="8" t="s">
        <v>44</v>
      </c>
      <c r="D43" s="9">
        <v>0.1</v>
      </c>
    </row>
    <row r="44" spans="1:4" x14ac:dyDescent="0.25">
      <c r="A44" s="5">
        <v>46112</v>
      </c>
      <c r="B44" t="s">
        <v>47</v>
      </c>
      <c r="C44" s="8" t="s">
        <v>45</v>
      </c>
      <c r="D44" s="9">
        <v>0.1</v>
      </c>
    </row>
    <row r="46" spans="1:4" x14ac:dyDescent="0.25">
      <c r="A46" s="5">
        <v>46142</v>
      </c>
      <c r="B46" t="s">
        <v>47</v>
      </c>
      <c r="C46" s="8" t="s">
        <v>36</v>
      </c>
      <c r="D46" s="9">
        <v>0.1</v>
      </c>
    </row>
    <row r="47" spans="1:4" x14ac:dyDescent="0.25">
      <c r="A47" s="5">
        <v>46142</v>
      </c>
      <c r="B47" t="s">
        <v>47</v>
      </c>
      <c r="C47" s="8" t="s">
        <v>37</v>
      </c>
      <c r="D47" s="9">
        <v>0.1</v>
      </c>
    </row>
    <row r="48" spans="1:4" x14ac:dyDescent="0.25">
      <c r="A48" s="5">
        <v>46142</v>
      </c>
      <c r="B48" t="s">
        <v>47</v>
      </c>
      <c r="C48" s="8" t="s">
        <v>38</v>
      </c>
      <c r="D48" s="9">
        <v>0.1</v>
      </c>
    </row>
    <row r="49" spans="1:4" x14ac:dyDescent="0.25">
      <c r="A49" s="5">
        <v>46142</v>
      </c>
      <c r="B49" t="s">
        <v>47</v>
      </c>
      <c r="C49" s="8" t="s">
        <v>39</v>
      </c>
      <c r="D49" s="9">
        <v>0.1</v>
      </c>
    </row>
    <row r="50" spans="1:4" x14ac:dyDescent="0.25">
      <c r="A50" s="5">
        <v>46142</v>
      </c>
      <c r="B50" t="s">
        <v>47</v>
      </c>
      <c r="C50" s="8" t="s">
        <v>40</v>
      </c>
      <c r="D50" s="9">
        <v>0.1</v>
      </c>
    </row>
    <row r="51" spans="1:4" x14ac:dyDescent="0.25">
      <c r="A51" s="5">
        <v>46142</v>
      </c>
      <c r="B51" t="s">
        <v>47</v>
      </c>
      <c r="C51" s="8" t="s">
        <v>41</v>
      </c>
      <c r="D51" s="9">
        <v>0.1</v>
      </c>
    </row>
    <row r="52" spans="1:4" x14ac:dyDescent="0.25">
      <c r="A52" s="5">
        <v>46142</v>
      </c>
      <c r="B52" t="s">
        <v>47</v>
      </c>
      <c r="C52" s="8" t="s">
        <v>54</v>
      </c>
      <c r="D52" s="9">
        <v>0.1</v>
      </c>
    </row>
    <row r="53" spans="1:4" x14ac:dyDescent="0.25">
      <c r="A53" s="5">
        <v>46142</v>
      </c>
      <c r="B53" t="s">
        <v>47</v>
      </c>
      <c r="C53" s="8" t="s">
        <v>55</v>
      </c>
      <c r="D53" s="9">
        <v>0.1</v>
      </c>
    </row>
    <row r="54" spans="1:4" x14ac:dyDescent="0.25">
      <c r="A54" s="5">
        <v>46142</v>
      </c>
      <c r="B54" t="s">
        <v>47</v>
      </c>
      <c r="C54" s="8" t="s">
        <v>44</v>
      </c>
      <c r="D54" s="9">
        <v>0.1</v>
      </c>
    </row>
    <row r="55" spans="1:4" x14ac:dyDescent="0.25">
      <c r="A55" s="5">
        <v>46142</v>
      </c>
      <c r="B55" t="s">
        <v>47</v>
      </c>
      <c r="C55" s="8" t="s">
        <v>45</v>
      </c>
      <c r="D55" s="9">
        <v>0.1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087E4-B878-4913-8A76-E8BC6BC26ED5}">
  <dimension ref="A1:BE27"/>
  <sheetViews>
    <sheetView topLeftCell="R1" zoomScale="90" zoomScaleNormal="90" workbookViewId="0">
      <selection activeCell="Y31" sqref="Y31"/>
    </sheetView>
  </sheetViews>
  <sheetFormatPr defaultRowHeight="13.5" x14ac:dyDescent="0.25"/>
  <cols>
    <col min="1" max="1" width="9.28515625" style="19" bestFit="1" customWidth="1"/>
    <col min="2" max="3" width="12.85546875" style="19" bestFit="1" customWidth="1"/>
    <col min="4" max="4" width="11" style="19" bestFit="1" customWidth="1"/>
    <col min="5" max="6" width="14" style="19" bestFit="1" customWidth="1"/>
    <col min="7" max="7" width="11.28515625" style="19" bestFit="1" customWidth="1"/>
    <col min="8" max="9" width="9.85546875" style="19" bestFit="1" customWidth="1"/>
    <col min="10" max="10" width="9.28515625" style="19" bestFit="1" customWidth="1"/>
    <col min="11" max="12" width="11.28515625" style="19" bestFit="1" customWidth="1"/>
    <col min="13" max="13" width="10.42578125" style="19" bestFit="1" customWidth="1"/>
    <col min="14" max="15" width="13.42578125" style="19" bestFit="1" customWidth="1"/>
    <col min="16" max="16" width="11.85546875" style="19" bestFit="1" customWidth="1"/>
    <col min="17" max="18" width="12.28515625" style="19" bestFit="1" customWidth="1"/>
    <col min="19" max="19" width="11.28515625" style="19" bestFit="1" customWidth="1"/>
    <col min="20" max="21" width="13.42578125" style="19" bestFit="1" customWidth="1"/>
    <col min="22" max="22" width="11.85546875" style="19" bestFit="1" customWidth="1"/>
    <col min="23" max="24" width="12.28515625" style="19" bestFit="1" customWidth="1"/>
    <col min="25" max="25" width="10.42578125" style="19" bestFit="1" customWidth="1"/>
    <col min="26" max="26" width="11.28515625" style="19" bestFit="1" customWidth="1"/>
    <col min="27" max="27" width="12.28515625" style="19" bestFit="1" customWidth="1"/>
    <col min="28" max="28" width="9.28515625" style="19" bestFit="1" customWidth="1"/>
    <col min="29" max="29" width="11.28515625" style="19" bestFit="1" customWidth="1"/>
    <col min="30" max="30" width="12.28515625" style="19" bestFit="1" customWidth="1"/>
    <col min="31" max="31" width="9.28515625" style="19" bestFit="1" customWidth="1"/>
    <col min="32" max="33" width="12.28515625" style="19" bestFit="1" customWidth="1"/>
    <col min="34" max="34" width="9.85546875" style="19" bestFit="1" customWidth="1"/>
    <col min="35" max="36" width="12.28515625" style="19" bestFit="1" customWidth="1"/>
    <col min="37" max="37" width="9.85546875" style="19" bestFit="1" customWidth="1"/>
    <col min="38" max="39" width="12.28515625" style="19" bestFit="1" customWidth="1"/>
    <col min="40" max="40" width="9.85546875" style="19" bestFit="1" customWidth="1"/>
    <col min="41" max="42" width="12.28515625" style="19" bestFit="1" customWidth="1"/>
    <col min="43" max="43" width="9.85546875" style="19" bestFit="1" customWidth="1"/>
    <col min="44" max="45" width="13.42578125" style="19" bestFit="1" customWidth="1"/>
    <col min="46" max="46" width="12.28515625" style="19" bestFit="1" customWidth="1"/>
    <col min="47" max="47" width="9.28515625" style="19" bestFit="1" customWidth="1"/>
    <col min="48" max="48" width="13.5703125" style="25" bestFit="1" customWidth="1"/>
    <col min="49" max="49" width="12.5703125" style="25" bestFit="1" customWidth="1"/>
    <col min="50" max="50" width="10.85546875" style="25" customWidth="1"/>
    <col min="51" max="53" width="9.28515625" style="19" bestFit="1" customWidth="1"/>
    <col min="54" max="55" width="10.85546875" style="19" bestFit="1" customWidth="1"/>
    <col min="56" max="56" width="10" style="19" bestFit="1" customWidth="1"/>
    <col min="57" max="57" width="11.28515625" style="19" bestFit="1" customWidth="1"/>
    <col min="58" max="16384" width="9.140625" style="19"/>
  </cols>
  <sheetData>
    <row r="1" spans="1:56" x14ac:dyDescent="0.25">
      <c r="A1" s="15" t="s">
        <v>102</v>
      </c>
      <c r="B1" s="15" t="s">
        <v>56</v>
      </c>
      <c r="C1" s="15" t="s">
        <v>57</v>
      </c>
      <c r="D1" s="15" t="s">
        <v>58</v>
      </c>
      <c r="E1" s="15" t="s">
        <v>59</v>
      </c>
      <c r="F1" s="15" t="s">
        <v>60</v>
      </c>
      <c r="G1" s="15" t="s">
        <v>61</v>
      </c>
      <c r="H1" s="15" t="s">
        <v>62</v>
      </c>
      <c r="I1" s="15" t="s">
        <v>63</v>
      </c>
      <c r="J1" s="15" t="s">
        <v>64</v>
      </c>
      <c r="K1" s="15" t="s">
        <v>65</v>
      </c>
      <c r="L1" s="15" t="s">
        <v>66</v>
      </c>
      <c r="M1" s="15" t="s">
        <v>67</v>
      </c>
      <c r="N1" s="15" t="s">
        <v>68</v>
      </c>
      <c r="O1" s="15" t="s">
        <v>69</v>
      </c>
      <c r="P1" s="15" t="s">
        <v>70</v>
      </c>
      <c r="Q1" s="15" t="s">
        <v>71</v>
      </c>
      <c r="R1" s="15" t="s">
        <v>72</v>
      </c>
      <c r="S1" s="15" t="s">
        <v>73</v>
      </c>
      <c r="T1" s="15" t="s">
        <v>74</v>
      </c>
      <c r="U1" s="15" t="s">
        <v>75</v>
      </c>
      <c r="V1" s="15" t="s">
        <v>76</v>
      </c>
      <c r="W1" s="15" t="s">
        <v>77</v>
      </c>
      <c r="X1" s="15" t="s">
        <v>78</v>
      </c>
      <c r="Y1" s="15" t="s">
        <v>79</v>
      </c>
      <c r="Z1" s="15" t="s">
        <v>80</v>
      </c>
      <c r="AA1" s="15" t="s">
        <v>81</v>
      </c>
      <c r="AB1" s="15" t="s">
        <v>82</v>
      </c>
      <c r="AC1" s="15" t="s">
        <v>83</v>
      </c>
      <c r="AD1" s="15" t="s">
        <v>84</v>
      </c>
      <c r="AE1" s="15" t="s">
        <v>85</v>
      </c>
      <c r="AF1" s="15" t="s">
        <v>86</v>
      </c>
      <c r="AG1" s="15" t="s">
        <v>87</v>
      </c>
      <c r="AH1" s="15" t="s">
        <v>88</v>
      </c>
      <c r="AI1" s="15" t="s">
        <v>89</v>
      </c>
      <c r="AJ1" s="15" t="s">
        <v>90</v>
      </c>
      <c r="AK1" s="15" t="s">
        <v>91</v>
      </c>
      <c r="AL1" s="15" t="s">
        <v>92</v>
      </c>
      <c r="AM1" s="15" t="s">
        <v>93</v>
      </c>
      <c r="AN1" s="15" t="s">
        <v>94</v>
      </c>
      <c r="AO1" s="15" t="s">
        <v>95</v>
      </c>
      <c r="AP1" s="15" t="s">
        <v>96</v>
      </c>
      <c r="AQ1" s="15" t="s">
        <v>97</v>
      </c>
      <c r="AR1" s="15" t="s">
        <v>98</v>
      </c>
      <c r="AS1" s="15" t="s">
        <v>99</v>
      </c>
      <c r="AT1" s="15" t="s">
        <v>100</v>
      </c>
      <c r="AU1" s="15" t="s">
        <v>101</v>
      </c>
      <c r="AV1" s="25" t="s">
        <v>103</v>
      </c>
      <c r="AW1" s="25" t="s">
        <v>107</v>
      </c>
      <c r="AX1" s="25" t="s">
        <v>104</v>
      </c>
      <c r="AY1" s="19" t="s">
        <v>105</v>
      </c>
      <c r="AZ1" s="19" t="s">
        <v>106</v>
      </c>
      <c r="BA1" s="19" t="s">
        <v>108</v>
      </c>
      <c r="BB1" s="19" t="s">
        <v>109</v>
      </c>
      <c r="BC1" s="19" t="s">
        <v>110</v>
      </c>
      <c r="BD1" s="19" t="s">
        <v>111</v>
      </c>
    </row>
    <row r="2" spans="1:56" x14ac:dyDescent="0.25">
      <c r="A2" s="1">
        <v>45292</v>
      </c>
      <c r="B2" s="20">
        <v>17511386.02</v>
      </c>
      <c r="C2" s="20">
        <v>17581972.850000001</v>
      </c>
      <c r="D2" s="16">
        <v>20586.830000000002</v>
      </c>
      <c r="E2" s="20">
        <v>9354308.2300000004</v>
      </c>
      <c r="F2" s="20">
        <v>9384153.1899999995</v>
      </c>
      <c r="G2" s="16">
        <v>29844.959999999999</v>
      </c>
      <c r="H2" s="20">
        <v>829299.46</v>
      </c>
      <c r="I2" s="20">
        <v>814219.59</v>
      </c>
      <c r="J2" s="16">
        <v>1198.78</v>
      </c>
      <c r="K2" s="20">
        <v>2350982</v>
      </c>
      <c r="L2" s="20">
        <v>2431680</v>
      </c>
      <c r="M2" s="16">
        <v>80698</v>
      </c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0">
        <v>30045975.710000001</v>
      </c>
      <c r="AS2" s="20">
        <v>30212025.629999999</v>
      </c>
      <c r="AT2" s="16">
        <v>116100</v>
      </c>
      <c r="AU2" s="3">
        <v>3.8999999999999998E-3</v>
      </c>
      <c r="AV2" s="26">
        <f>B2+Q2+T2+W2+E2+H2+N2</f>
        <v>27694993.710000001</v>
      </c>
      <c r="AW2" s="26">
        <f t="shared" ref="AW2:AX2" si="0">C2+R2+U2+X2+F2+I2</f>
        <v>27780345.629999999</v>
      </c>
      <c r="AX2" s="26">
        <f t="shared" si="0"/>
        <v>51630.57</v>
      </c>
      <c r="AY2" s="19">
        <f>Z2+AC2+AF2</f>
        <v>0</v>
      </c>
      <c r="AZ2" s="19">
        <f t="shared" ref="AZ2:BA2" si="1">AA2+AD2+AG2</f>
        <v>0</v>
      </c>
      <c r="BA2" s="19">
        <f t="shared" si="1"/>
        <v>0</v>
      </c>
      <c r="BB2" s="19">
        <f>AC2+AF2+AI2</f>
        <v>0</v>
      </c>
      <c r="BC2" s="19">
        <f t="shared" ref="BC2" si="2">AD2+AG2+AJ2</f>
        <v>0</v>
      </c>
      <c r="BD2" s="19">
        <f t="shared" ref="BD2" si="3">AE2+AH2+AK2</f>
        <v>0</v>
      </c>
    </row>
    <row r="3" spans="1:56" x14ac:dyDescent="0.25">
      <c r="A3" s="1">
        <v>45323</v>
      </c>
      <c r="B3" s="20">
        <v>17588089.609999999</v>
      </c>
      <c r="C3" s="20">
        <v>17610428.289999999</v>
      </c>
      <c r="D3" s="16">
        <v>151440.68</v>
      </c>
      <c r="E3" s="20">
        <v>9384153.1899999995</v>
      </c>
      <c r="F3" s="20">
        <v>9388622.1699999999</v>
      </c>
      <c r="G3" s="16">
        <v>4468.9799999999996</v>
      </c>
      <c r="H3" s="20">
        <v>814180.14</v>
      </c>
      <c r="I3" s="20">
        <v>807449.05</v>
      </c>
      <c r="J3" s="16">
        <v>1800.38</v>
      </c>
      <c r="K3" s="20">
        <v>2431680</v>
      </c>
      <c r="L3" s="20">
        <v>2521787</v>
      </c>
      <c r="M3" s="16">
        <v>90107</v>
      </c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20">
        <v>30218102.940000001</v>
      </c>
      <c r="AS3" s="20">
        <v>30328286.510000002</v>
      </c>
      <c r="AT3" s="16">
        <v>230817.04</v>
      </c>
      <c r="AU3" s="3">
        <v>7.6E-3</v>
      </c>
      <c r="AV3" s="26">
        <f t="shared" ref="AV3:AV26" si="4">B3+Q3+T3+W3+E3+H3</f>
        <v>27786422.939999998</v>
      </c>
      <c r="AW3" s="26">
        <f t="shared" ref="AW3:AW26" si="5">C3+R3+U3+X3+F3+I3</f>
        <v>27806499.510000002</v>
      </c>
      <c r="AX3" s="26">
        <f t="shared" ref="AX3:AX26" si="6">D3+S3+V3+Y3+G3+J3</f>
        <v>157710.04</v>
      </c>
      <c r="AY3" s="19">
        <f t="shared" ref="AY3:AY25" si="7">Z3+AC3+AF3</f>
        <v>0</v>
      </c>
      <c r="AZ3" s="19">
        <f t="shared" ref="AZ3:AZ25" si="8">AA3+AD3+AG3</f>
        <v>0</v>
      </c>
      <c r="BA3" s="19">
        <f t="shared" ref="BA3:BA25" si="9">AB3+AE3+AH3</f>
        <v>0</v>
      </c>
      <c r="BB3" s="19">
        <f t="shared" ref="BB3:BB15" si="10">AC3+AF3+AI3</f>
        <v>0</v>
      </c>
      <c r="BC3" s="19">
        <f t="shared" ref="BC3:BC15" si="11">AD3+AG3+AJ3</f>
        <v>0</v>
      </c>
      <c r="BD3" s="19">
        <f t="shared" ref="BD3:BD15" si="12">AE3+AH3+AK3</f>
        <v>0</v>
      </c>
    </row>
    <row r="4" spans="1:56" x14ac:dyDescent="0.25">
      <c r="A4" s="1">
        <v>45352</v>
      </c>
      <c r="B4" s="20">
        <v>17613844.07</v>
      </c>
      <c r="C4" s="20">
        <v>17987644.02</v>
      </c>
      <c r="D4" s="16">
        <v>390859.87</v>
      </c>
      <c r="E4" s="20">
        <v>9388622.1699999999</v>
      </c>
      <c r="F4" s="15"/>
      <c r="G4" s="16">
        <v>45054.32</v>
      </c>
      <c r="H4" s="20">
        <v>807417.99</v>
      </c>
      <c r="I4" s="20">
        <v>804563.79</v>
      </c>
      <c r="J4" s="16">
        <v>1561.81</v>
      </c>
      <c r="K4" s="20">
        <v>2521787</v>
      </c>
      <c r="L4" s="20">
        <v>2581572</v>
      </c>
      <c r="M4" s="16">
        <v>59785</v>
      </c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20">
        <v>30331671.23</v>
      </c>
      <c r="AS4" s="20">
        <v>21373779.809999999</v>
      </c>
      <c r="AT4" s="16">
        <v>480261</v>
      </c>
      <c r="AU4" s="3">
        <v>1.5800000000000002E-2</v>
      </c>
      <c r="AV4" s="26">
        <f t="shared" si="4"/>
        <v>27809884.23</v>
      </c>
      <c r="AW4" s="26">
        <f t="shared" si="5"/>
        <v>18792207.809999999</v>
      </c>
      <c r="AX4" s="26">
        <f t="shared" si="6"/>
        <v>437476</v>
      </c>
      <c r="AY4" s="19">
        <f t="shared" si="7"/>
        <v>0</v>
      </c>
      <c r="AZ4" s="19">
        <f t="shared" si="8"/>
        <v>0</v>
      </c>
      <c r="BA4" s="19">
        <f t="shared" si="9"/>
        <v>0</v>
      </c>
      <c r="BB4" s="19">
        <f t="shared" si="10"/>
        <v>0</v>
      </c>
      <c r="BC4" s="19">
        <f t="shared" si="11"/>
        <v>0</v>
      </c>
      <c r="BD4" s="19">
        <f t="shared" si="12"/>
        <v>0</v>
      </c>
    </row>
    <row r="5" spans="1:56" x14ac:dyDescent="0.25">
      <c r="A5" s="1">
        <v>45383</v>
      </c>
      <c r="B5" s="20">
        <v>18023668.609999999</v>
      </c>
      <c r="C5" s="20">
        <v>17757229.870000001</v>
      </c>
      <c r="D5" s="16">
        <v>-164608.74</v>
      </c>
      <c r="E5" s="20">
        <v>9433497</v>
      </c>
      <c r="F5" s="20">
        <v>9426108.9000000004</v>
      </c>
      <c r="G5" s="16">
        <v>2142.73</v>
      </c>
      <c r="H5" s="20">
        <v>804563.79</v>
      </c>
      <c r="I5" s="20">
        <v>798370.2</v>
      </c>
      <c r="J5" s="16">
        <v>1607.67</v>
      </c>
      <c r="K5" s="20">
        <v>2581572</v>
      </c>
      <c r="L5" s="20">
        <v>2593542</v>
      </c>
      <c r="M5" s="16">
        <v>11970</v>
      </c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20">
        <v>30843301.399999999</v>
      </c>
      <c r="AS5" s="20">
        <v>30575250.969999999</v>
      </c>
      <c r="AT5" s="16">
        <v>-165888.34</v>
      </c>
      <c r="AU5" s="3">
        <v>-5.4000000000000003E-3</v>
      </c>
      <c r="AV5" s="26">
        <f t="shared" si="4"/>
        <v>28261729.399999999</v>
      </c>
      <c r="AW5" s="26">
        <f t="shared" si="5"/>
        <v>27981708.970000003</v>
      </c>
      <c r="AX5" s="26">
        <f t="shared" si="6"/>
        <v>-160858.33999999997</v>
      </c>
      <c r="AY5" s="19">
        <f t="shared" si="7"/>
        <v>0</v>
      </c>
      <c r="AZ5" s="19">
        <f t="shared" si="8"/>
        <v>0</v>
      </c>
      <c r="BA5" s="19">
        <f t="shared" si="9"/>
        <v>0</v>
      </c>
      <c r="BB5" s="19">
        <f t="shared" si="10"/>
        <v>0</v>
      </c>
      <c r="BC5" s="19">
        <f t="shared" si="11"/>
        <v>0</v>
      </c>
      <c r="BD5" s="19">
        <f t="shared" si="12"/>
        <v>0</v>
      </c>
    </row>
    <row r="6" spans="1:56" x14ac:dyDescent="0.25">
      <c r="A6" s="1">
        <v>45413</v>
      </c>
      <c r="B6" s="20">
        <v>17759745.359999999</v>
      </c>
      <c r="C6" s="20">
        <v>17901607.09</v>
      </c>
      <c r="D6" s="16">
        <v>114278.39999999999</v>
      </c>
      <c r="E6" s="20">
        <v>9430849</v>
      </c>
      <c r="F6" s="20">
        <v>90094753.769999996</v>
      </c>
      <c r="G6" s="16">
        <v>29475.58</v>
      </c>
      <c r="H6" s="20">
        <v>798370.2</v>
      </c>
      <c r="I6" s="20">
        <v>794907.53</v>
      </c>
      <c r="J6" s="16">
        <v>1581.37</v>
      </c>
      <c r="K6" s="20">
        <v>2593542</v>
      </c>
      <c r="L6" s="20">
        <v>2594743</v>
      </c>
      <c r="M6" s="16">
        <v>5201</v>
      </c>
      <c r="N6" s="15"/>
      <c r="O6" s="15"/>
      <c r="P6" s="20">
        <f>SUM(P13:P24)</f>
        <v>-249368.30999999997</v>
      </c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20">
        <v>30582506.559999999</v>
      </c>
      <c r="AS6" s="20">
        <v>111386011.39</v>
      </c>
      <c r="AT6" s="16">
        <v>133536.35</v>
      </c>
      <c r="AU6" s="3">
        <v>4.4000000000000003E-3</v>
      </c>
      <c r="AV6" s="26">
        <f t="shared" si="4"/>
        <v>27988964.559999999</v>
      </c>
      <c r="AW6" s="26">
        <f t="shared" si="5"/>
        <v>108791268.39</v>
      </c>
      <c r="AX6" s="26">
        <f t="shared" si="6"/>
        <v>145335.34999999998</v>
      </c>
      <c r="AY6" s="19">
        <f t="shared" si="7"/>
        <v>0</v>
      </c>
      <c r="AZ6" s="19">
        <f t="shared" si="8"/>
        <v>0</v>
      </c>
      <c r="BA6" s="19">
        <f t="shared" si="9"/>
        <v>0</v>
      </c>
      <c r="BB6" s="19">
        <f t="shared" si="10"/>
        <v>0</v>
      </c>
      <c r="BC6" s="19">
        <f t="shared" si="11"/>
        <v>0</v>
      </c>
      <c r="BD6" s="19">
        <f t="shared" si="12"/>
        <v>0</v>
      </c>
    </row>
    <row r="7" spans="1:56" x14ac:dyDescent="0.25">
      <c r="A7" s="1">
        <v>45444</v>
      </c>
      <c r="B7" s="20">
        <v>17908285.25</v>
      </c>
      <c r="C7" s="20">
        <v>17902438.43</v>
      </c>
      <c r="D7" s="16">
        <v>-15410.73</v>
      </c>
      <c r="E7" s="20">
        <v>90026790.170000002</v>
      </c>
      <c r="F7" s="20">
        <v>172681660.90000001</v>
      </c>
      <c r="G7" s="16">
        <v>1959771.05</v>
      </c>
      <c r="H7" s="20">
        <v>786562.94</v>
      </c>
      <c r="I7" s="20">
        <v>780027.97</v>
      </c>
      <c r="J7" s="18">
        <v>-123.08</v>
      </c>
      <c r="K7" s="20">
        <v>2594743</v>
      </c>
      <c r="L7" s="20">
        <v>2640993</v>
      </c>
      <c r="M7" s="16">
        <v>50250</v>
      </c>
      <c r="N7" s="20">
        <v>115929000</v>
      </c>
      <c r="O7" s="20">
        <v>126400000</v>
      </c>
      <c r="P7" s="15">
        <v>10471000</v>
      </c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20">
        <v>307989633.06</v>
      </c>
      <c r="AS7" s="20">
        <v>320405120.30000001</v>
      </c>
      <c r="AT7" s="16">
        <v>12415487.24</v>
      </c>
      <c r="AU7" s="3">
        <v>4.0300000000000002E-2</v>
      </c>
      <c r="AV7" s="26">
        <f t="shared" si="4"/>
        <v>108721638.36</v>
      </c>
      <c r="AW7" s="26">
        <f t="shared" si="5"/>
        <v>191364127.30000001</v>
      </c>
      <c r="AX7" s="26">
        <f t="shared" si="6"/>
        <v>1944237.24</v>
      </c>
      <c r="AY7" s="19">
        <f t="shared" si="7"/>
        <v>0</v>
      </c>
      <c r="AZ7" s="19">
        <f t="shared" si="8"/>
        <v>0</v>
      </c>
      <c r="BA7" s="19">
        <f t="shared" si="9"/>
        <v>0</v>
      </c>
      <c r="BB7" s="19">
        <f t="shared" si="10"/>
        <v>0</v>
      </c>
      <c r="BC7" s="19">
        <f t="shared" si="11"/>
        <v>0</v>
      </c>
      <c r="BD7" s="19">
        <f t="shared" si="12"/>
        <v>0</v>
      </c>
    </row>
    <row r="8" spans="1:56" x14ac:dyDescent="0.25">
      <c r="A8" s="1">
        <v>45474</v>
      </c>
      <c r="B8" s="20">
        <v>17914773.82</v>
      </c>
      <c r="C8" s="20">
        <v>17936559.43</v>
      </c>
      <c r="D8" s="16">
        <v>178459.95</v>
      </c>
      <c r="E8" s="20">
        <v>172681654.83000001</v>
      </c>
      <c r="F8" s="20">
        <v>172575256.58000001</v>
      </c>
      <c r="G8" s="16">
        <v>29309.75</v>
      </c>
      <c r="H8" s="20">
        <v>780149.97</v>
      </c>
      <c r="I8" s="20">
        <v>766592.27</v>
      </c>
      <c r="J8" s="16">
        <v>1856.54</v>
      </c>
      <c r="K8" s="20">
        <v>2640993</v>
      </c>
      <c r="L8" s="20">
        <v>2579629</v>
      </c>
      <c r="M8" s="16">
        <v>-57364</v>
      </c>
      <c r="N8" s="20">
        <v>126427415.42</v>
      </c>
      <c r="O8" s="20">
        <v>123001400.83</v>
      </c>
      <c r="P8" s="16">
        <v>-3425572.95</v>
      </c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20">
        <v>320444987.04000002</v>
      </c>
      <c r="AS8" s="20">
        <v>316859438.11000001</v>
      </c>
      <c r="AT8" s="16">
        <v>-3403310.71</v>
      </c>
      <c r="AU8" s="3">
        <v>-1.06E-2</v>
      </c>
      <c r="AV8" s="26">
        <f t="shared" si="4"/>
        <v>191376578.62</v>
      </c>
      <c r="AW8" s="26">
        <f t="shared" si="5"/>
        <v>191278408.28000003</v>
      </c>
      <c r="AX8" s="26">
        <f t="shared" si="6"/>
        <v>209626.24000000002</v>
      </c>
      <c r="AY8" s="19">
        <f t="shared" si="7"/>
        <v>0</v>
      </c>
      <c r="AZ8" s="19">
        <f t="shared" si="8"/>
        <v>0</v>
      </c>
      <c r="BA8" s="19">
        <f t="shared" si="9"/>
        <v>0</v>
      </c>
      <c r="BB8" s="19">
        <f t="shared" si="10"/>
        <v>0</v>
      </c>
      <c r="BC8" s="19">
        <f t="shared" si="11"/>
        <v>0</v>
      </c>
      <c r="BD8" s="19">
        <f t="shared" si="12"/>
        <v>0</v>
      </c>
    </row>
    <row r="9" spans="1:56" x14ac:dyDescent="0.25">
      <c r="A9" s="1">
        <v>45505</v>
      </c>
      <c r="B9" s="20">
        <v>17957763.170000002</v>
      </c>
      <c r="C9" s="20">
        <v>17821068.239999998</v>
      </c>
      <c r="D9" s="16">
        <v>-26126.13</v>
      </c>
      <c r="E9" s="20">
        <v>172575256.58000001</v>
      </c>
      <c r="F9" s="20">
        <v>171996504.41999999</v>
      </c>
      <c r="G9" s="16">
        <v>-533752.16</v>
      </c>
      <c r="H9" s="20">
        <v>766592.27</v>
      </c>
      <c r="I9" s="20">
        <v>745274.14</v>
      </c>
      <c r="J9" s="16">
        <v>1839.47</v>
      </c>
      <c r="K9" s="20">
        <v>2579629</v>
      </c>
      <c r="L9" s="20">
        <v>2524237</v>
      </c>
      <c r="M9" s="16">
        <v>-55392</v>
      </c>
      <c r="N9" s="20">
        <v>121330155.2</v>
      </c>
      <c r="O9" s="20">
        <v>122100187.03</v>
      </c>
      <c r="P9" s="16">
        <v>813026.98</v>
      </c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20">
        <v>315209396.22000003</v>
      </c>
      <c r="AS9" s="20">
        <v>315187270.82999998</v>
      </c>
      <c r="AT9" s="16">
        <v>69596.160000000003</v>
      </c>
      <c r="AU9" s="3">
        <v>2.0000000000000001E-4</v>
      </c>
      <c r="AV9" s="26">
        <f t="shared" si="4"/>
        <v>191299612.02000001</v>
      </c>
      <c r="AW9" s="26">
        <f t="shared" si="5"/>
        <v>190562846.79999998</v>
      </c>
      <c r="AX9" s="26">
        <f t="shared" si="6"/>
        <v>-558038.82000000007</v>
      </c>
      <c r="AY9" s="19">
        <f t="shared" si="7"/>
        <v>0</v>
      </c>
      <c r="AZ9" s="19">
        <f t="shared" si="8"/>
        <v>0</v>
      </c>
      <c r="BA9" s="19">
        <f t="shared" si="9"/>
        <v>0</v>
      </c>
      <c r="BB9" s="19">
        <f t="shared" si="10"/>
        <v>0</v>
      </c>
      <c r="BC9" s="19">
        <f t="shared" si="11"/>
        <v>0</v>
      </c>
      <c r="BD9" s="19">
        <f t="shared" si="12"/>
        <v>0</v>
      </c>
    </row>
    <row r="10" spans="1:56" x14ac:dyDescent="0.25">
      <c r="A10" s="1">
        <v>45536</v>
      </c>
      <c r="B10" s="20">
        <v>17821984.670000002</v>
      </c>
      <c r="C10" s="20">
        <v>17918581.09</v>
      </c>
      <c r="D10" s="16">
        <v>96405.07</v>
      </c>
      <c r="E10" s="20">
        <v>172006746.68000001</v>
      </c>
      <c r="F10" s="20">
        <v>172635017.68000001</v>
      </c>
      <c r="G10" s="16">
        <v>648125.23</v>
      </c>
      <c r="H10" s="20">
        <v>745274.14</v>
      </c>
      <c r="I10" s="20">
        <v>732974.41</v>
      </c>
      <c r="J10" s="16">
        <v>1679.08</v>
      </c>
      <c r="K10" s="20">
        <v>2524237</v>
      </c>
      <c r="L10" s="20">
        <v>2515540</v>
      </c>
      <c r="M10" s="16">
        <v>-8697</v>
      </c>
      <c r="N10" s="20">
        <v>122142936.81</v>
      </c>
      <c r="O10" s="20">
        <v>121876241.56999999</v>
      </c>
      <c r="P10" s="16">
        <v>-266695.24</v>
      </c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20">
        <v>315241179.30000001</v>
      </c>
      <c r="AS10" s="20">
        <v>315678354.75</v>
      </c>
      <c r="AT10" s="16">
        <v>340817.14</v>
      </c>
      <c r="AU10" s="3">
        <v>1.1000000000000001E-3</v>
      </c>
      <c r="AV10" s="26">
        <f t="shared" si="4"/>
        <v>190574005.49000001</v>
      </c>
      <c r="AW10" s="26">
        <f t="shared" si="5"/>
        <v>191286573.18000001</v>
      </c>
      <c r="AX10" s="26">
        <f t="shared" si="6"/>
        <v>746209.38</v>
      </c>
      <c r="AY10" s="19">
        <f t="shared" si="7"/>
        <v>0</v>
      </c>
      <c r="AZ10" s="19">
        <f t="shared" si="8"/>
        <v>0</v>
      </c>
      <c r="BA10" s="19">
        <f t="shared" si="9"/>
        <v>0</v>
      </c>
      <c r="BB10" s="19">
        <f t="shared" si="10"/>
        <v>0</v>
      </c>
      <c r="BC10" s="19">
        <f t="shared" si="11"/>
        <v>0</v>
      </c>
      <c r="BD10" s="19">
        <f t="shared" si="12"/>
        <v>0</v>
      </c>
    </row>
    <row r="11" spans="1:56" x14ac:dyDescent="0.25">
      <c r="A11" s="1">
        <v>45566</v>
      </c>
      <c r="B11" s="20">
        <v>17901523.91</v>
      </c>
      <c r="C11" s="20">
        <v>18306123.77</v>
      </c>
      <c r="D11" s="16">
        <v>518810.68</v>
      </c>
      <c r="E11" s="20">
        <v>172634151.44</v>
      </c>
      <c r="F11" s="20">
        <v>173392957.41</v>
      </c>
      <c r="G11" s="16">
        <v>1149596.71</v>
      </c>
      <c r="H11" s="20">
        <v>732952.82</v>
      </c>
      <c r="I11" s="20">
        <v>724315.67</v>
      </c>
      <c r="J11" s="16">
        <v>1796.16</v>
      </c>
      <c r="K11" s="20">
        <v>2515540</v>
      </c>
      <c r="L11" s="20">
        <v>2644790</v>
      </c>
      <c r="M11" s="16">
        <v>129250</v>
      </c>
      <c r="N11" s="20">
        <v>121866140.56</v>
      </c>
      <c r="O11" s="20">
        <v>121882841.69</v>
      </c>
      <c r="P11" s="16">
        <v>16701.13</v>
      </c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20">
        <v>315650308.73000002</v>
      </c>
      <c r="AS11" s="20">
        <v>316951028.54000002</v>
      </c>
      <c r="AT11" s="16">
        <v>1686154.68</v>
      </c>
      <c r="AU11" s="3">
        <v>5.3E-3</v>
      </c>
      <c r="AV11" s="26">
        <f t="shared" si="4"/>
        <v>191268628.16999999</v>
      </c>
      <c r="AW11" s="26">
        <f t="shared" si="5"/>
        <v>192423396.84999999</v>
      </c>
      <c r="AX11" s="26">
        <f t="shared" si="6"/>
        <v>1670203.5499999998</v>
      </c>
      <c r="AY11" s="19">
        <f t="shared" si="7"/>
        <v>0</v>
      </c>
      <c r="AZ11" s="19">
        <f t="shared" si="8"/>
        <v>0</v>
      </c>
      <c r="BA11" s="19">
        <f t="shared" si="9"/>
        <v>0</v>
      </c>
      <c r="BB11" s="19">
        <f t="shared" si="10"/>
        <v>0</v>
      </c>
      <c r="BC11" s="19">
        <f t="shared" si="11"/>
        <v>0</v>
      </c>
      <c r="BD11" s="19">
        <f t="shared" si="12"/>
        <v>0</v>
      </c>
    </row>
    <row r="12" spans="1:56" x14ac:dyDescent="0.25">
      <c r="A12" s="1">
        <v>45597</v>
      </c>
      <c r="B12" s="20">
        <v>18335826.190000001</v>
      </c>
      <c r="C12" s="20">
        <v>18755402.350000001</v>
      </c>
      <c r="D12" s="16">
        <v>425154.9</v>
      </c>
      <c r="E12" s="20">
        <v>173394316.08000001</v>
      </c>
      <c r="F12" s="20">
        <v>177737043</v>
      </c>
      <c r="G12" s="16">
        <v>2157262.41</v>
      </c>
      <c r="H12" s="20">
        <v>724315.67</v>
      </c>
      <c r="I12" s="20">
        <v>713428.2</v>
      </c>
      <c r="J12" s="16">
        <v>1603.42</v>
      </c>
      <c r="K12" s="20">
        <v>2644790</v>
      </c>
      <c r="L12" s="20">
        <v>2828323</v>
      </c>
      <c r="M12" s="16">
        <v>183533</v>
      </c>
      <c r="N12" s="20">
        <v>121882841.69</v>
      </c>
      <c r="O12" s="20">
        <v>122889217.79000001</v>
      </c>
      <c r="P12" s="16">
        <v>1006632.64</v>
      </c>
      <c r="Q12" s="15"/>
      <c r="R12" s="15"/>
      <c r="S12" s="20">
        <f>SUM(S14:S25)</f>
        <v>2475486.71</v>
      </c>
      <c r="T12" s="15"/>
      <c r="U12" s="15"/>
      <c r="V12" s="15">
        <f>SUM(V14:V25)</f>
        <v>5184845.2799999993</v>
      </c>
      <c r="W12" s="15"/>
      <c r="X12" s="15"/>
      <c r="Y12" s="15">
        <f>SUM(Y14:Y25)</f>
        <v>2475383.7699999996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20">
        <v>316982089.63</v>
      </c>
      <c r="AS12" s="20">
        <v>322923414.33999997</v>
      </c>
      <c r="AT12" s="16">
        <v>3644186.37</v>
      </c>
      <c r="AU12" s="3">
        <v>1.15E-2</v>
      </c>
      <c r="AV12" s="26">
        <f t="shared" si="4"/>
        <v>192454457.94</v>
      </c>
      <c r="AW12" s="26">
        <f t="shared" si="5"/>
        <v>197205873.54999998</v>
      </c>
      <c r="AX12" s="26">
        <f t="shared" si="6"/>
        <v>12719736.489999998</v>
      </c>
      <c r="AY12" s="19">
        <f t="shared" si="7"/>
        <v>0</v>
      </c>
      <c r="AZ12" s="19">
        <f t="shared" si="8"/>
        <v>0</v>
      </c>
      <c r="BA12" s="19">
        <f t="shared" si="9"/>
        <v>0</v>
      </c>
      <c r="BB12" s="19">
        <f t="shared" si="10"/>
        <v>0</v>
      </c>
      <c r="BC12" s="19">
        <f t="shared" si="11"/>
        <v>0</v>
      </c>
      <c r="BD12" s="19">
        <f t="shared" si="12"/>
        <v>0</v>
      </c>
    </row>
    <row r="13" spans="1:56" x14ac:dyDescent="0.25">
      <c r="A13" s="21">
        <v>45627</v>
      </c>
      <c r="B13" s="17">
        <v>18781254.010000002</v>
      </c>
      <c r="C13" s="17">
        <v>18624474.440000001</v>
      </c>
      <c r="D13" s="17">
        <v>-142825.96</v>
      </c>
      <c r="E13" s="17">
        <v>177764619.65000001</v>
      </c>
      <c r="F13" s="17">
        <v>13201369.82</v>
      </c>
      <c r="G13" s="17">
        <v>-874649.19</v>
      </c>
      <c r="H13" s="17">
        <v>713428.2</v>
      </c>
      <c r="I13" s="17">
        <v>698178.14</v>
      </c>
      <c r="J13" s="22">
        <v>338.02</v>
      </c>
      <c r="K13" s="17">
        <v>2828323</v>
      </c>
      <c r="L13" s="17">
        <v>2862193</v>
      </c>
      <c r="M13" s="17">
        <v>33870</v>
      </c>
      <c r="N13" s="17">
        <v>122895486.26000001</v>
      </c>
      <c r="O13" s="17">
        <v>8089550.6500000004</v>
      </c>
      <c r="P13" s="17">
        <v>-126492.61</v>
      </c>
      <c r="Q13" s="22">
        <v>0</v>
      </c>
      <c r="R13" s="17">
        <v>69025960.879999995</v>
      </c>
      <c r="S13" s="17">
        <v>-80951.39</v>
      </c>
      <c r="T13" s="22">
        <v>0</v>
      </c>
      <c r="U13" s="17">
        <v>138073166.58000001</v>
      </c>
      <c r="V13" s="17">
        <v>-161753.96</v>
      </c>
      <c r="W13" s="22">
        <v>0</v>
      </c>
      <c r="X13" s="17">
        <v>69035978.549999997</v>
      </c>
      <c r="Y13" s="17">
        <v>-80753.91</v>
      </c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17">
        <v>322983111.12</v>
      </c>
      <c r="AS13" s="17">
        <v>319610872.06</v>
      </c>
      <c r="AT13" s="17">
        <v>-1563219</v>
      </c>
      <c r="AU13" s="23">
        <v>-4.7999999999999996E-3</v>
      </c>
      <c r="AV13" s="26">
        <f t="shared" si="4"/>
        <v>197259301.85999998</v>
      </c>
      <c r="AW13" s="26">
        <f t="shared" si="5"/>
        <v>308659128.40999997</v>
      </c>
      <c r="AX13" s="26">
        <f t="shared" si="6"/>
        <v>-1340596.3899999999</v>
      </c>
      <c r="AY13" s="19">
        <f t="shared" si="7"/>
        <v>0</v>
      </c>
      <c r="AZ13" s="19">
        <f t="shared" si="8"/>
        <v>0</v>
      </c>
      <c r="BA13" s="19">
        <f t="shared" si="9"/>
        <v>0</v>
      </c>
      <c r="BB13" s="19">
        <f t="shared" si="10"/>
        <v>0</v>
      </c>
      <c r="BC13" s="19">
        <f t="shared" si="11"/>
        <v>0</v>
      </c>
      <c r="BD13" s="19">
        <f t="shared" si="12"/>
        <v>0</v>
      </c>
    </row>
    <row r="14" spans="1:56" x14ac:dyDescent="0.25">
      <c r="A14" s="1">
        <v>45658</v>
      </c>
      <c r="B14" s="20">
        <v>18673401.710000001</v>
      </c>
      <c r="C14" s="20">
        <v>18973963.629999999</v>
      </c>
      <c r="D14" s="16">
        <v>299628.96000000002</v>
      </c>
      <c r="E14" s="20">
        <v>13205536.529999999</v>
      </c>
      <c r="F14" s="20">
        <v>13026984.050000001</v>
      </c>
      <c r="G14" s="16">
        <v>-178552.48</v>
      </c>
      <c r="H14" s="20">
        <v>698178.14</v>
      </c>
      <c r="I14" s="20">
        <v>688244.22</v>
      </c>
      <c r="J14" s="18">
        <v>934.17</v>
      </c>
      <c r="K14" s="20">
        <v>2862193</v>
      </c>
      <c r="L14" s="20">
        <v>2842364</v>
      </c>
      <c r="M14" s="16">
        <v>-19829</v>
      </c>
      <c r="N14" s="20">
        <v>1745415.12</v>
      </c>
      <c r="O14" s="20">
        <v>1751518.62</v>
      </c>
      <c r="P14" s="16">
        <v>6103.5</v>
      </c>
      <c r="Q14" s="20">
        <v>70641627.219999999</v>
      </c>
      <c r="R14" s="20">
        <v>71082267.390000001</v>
      </c>
      <c r="S14" s="16">
        <v>519550.82</v>
      </c>
      <c r="T14" s="20">
        <v>141304789.58000001</v>
      </c>
      <c r="U14" s="20">
        <v>142208747.15000001</v>
      </c>
      <c r="V14" s="16">
        <v>1061778.8799999999</v>
      </c>
      <c r="W14" s="20">
        <v>70651644.890000001</v>
      </c>
      <c r="X14" s="20">
        <v>71090205.280000001</v>
      </c>
      <c r="Y14" s="16">
        <v>517471.04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20">
        <v>319782786.19</v>
      </c>
      <c r="AS14" s="20">
        <v>321664294.33999997</v>
      </c>
      <c r="AT14" s="16">
        <v>2077085.89</v>
      </c>
      <c r="AU14" s="3">
        <v>6.4999999999999997E-3</v>
      </c>
      <c r="AV14" s="26">
        <f t="shared" si="4"/>
        <v>315175178.06999999</v>
      </c>
      <c r="AW14" s="26">
        <f t="shared" si="5"/>
        <v>317070411.72000009</v>
      </c>
      <c r="AX14" s="26">
        <f t="shared" si="6"/>
        <v>2220811.3899999997</v>
      </c>
      <c r="AY14" s="19">
        <f t="shared" si="7"/>
        <v>0</v>
      </c>
      <c r="AZ14" s="19">
        <f t="shared" si="8"/>
        <v>0</v>
      </c>
      <c r="BA14" s="19">
        <f t="shared" si="9"/>
        <v>0</v>
      </c>
      <c r="BB14" s="19">
        <f t="shared" si="10"/>
        <v>0</v>
      </c>
      <c r="BC14" s="19">
        <f t="shared" si="11"/>
        <v>0</v>
      </c>
      <c r="BD14" s="19">
        <f t="shared" si="12"/>
        <v>0</v>
      </c>
    </row>
    <row r="15" spans="1:56" x14ac:dyDescent="0.25">
      <c r="A15" s="1">
        <v>45689</v>
      </c>
      <c r="B15" s="20">
        <v>18974116.699999999</v>
      </c>
      <c r="C15" s="20">
        <v>18738405.829999998</v>
      </c>
      <c r="D15" s="16">
        <v>-208185.56</v>
      </c>
      <c r="E15" s="20">
        <v>13026984.050000001</v>
      </c>
      <c r="F15" s="20">
        <v>13022030.859999999</v>
      </c>
      <c r="G15" s="16">
        <v>-4953.1899999999996</v>
      </c>
      <c r="H15" s="20">
        <v>688244.22</v>
      </c>
      <c r="I15" s="20">
        <v>678365.87</v>
      </c>
      <c r="J15" s="18">
        <v>608.54</v>
      </c>
      <c r="K15" s="20">
        <v>2842364</v>
      </c>
      <c r="L15" s="20">
        <v>2758846</v>
      </c>
      <c r="M15" s="16">
        <v>-83518</v>
      </c>
      <c r="N15" s="20">
        <v>1751518.62</v>
      </c>
      <c r="O15" s="20">
        <v>1750728.86</v>
      </c>
      <c r="P15" s="18">
        <v>-789.76</v>
      </c>
      <c r="Q15" s="20">
        <v>71027444.060000002</v>
      </c>
      <c r="R15" s="20">
        <v>70408300.310000002</v>
      </c>
      <c r="S15" s="16">
        <v>-619143.75</v>
      </c>
      <c r="T15" s="20">
        <v>142150391.94999999</v>
      </c>
      <c r="U15" s="20">
        <v>140923157.63</v>
      </c>
      <c r="V15" s="16">
        <v>-1227234.32</v>
      </c>
      <c r="W15" s="20">
        <v>71035382.120000005</v>
      </c>
      <c r="X15" s="20">
        <v>70417890.700000003</v>
      </c>
      <c r="Y15" s="16">
        <v>-617491.42000000004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20">
        <v>321496445.72000003</v>
      </c>
      <c r="AS15" s="20">
        <v>318697726.06</v>
      </c>
      <c r="AT15" s="16">
        <v>-2890707.46</v>
      </c>
      <c r="AU15" s="3">
        <v>-8.9999999999999993E-3</v>
      </c>
      <c r="AV15" s="26">
        <f t="shared" si="4"/>
        <v>316902563.10000002</v>
      </c>
      <c r="AW15" s="26">
        <f t="shared" si="5"/>
        <v>314188151.19999999</v>
      </c>
      <c r="AX15" s="26">
        <f t="shared" si="6"/>
        <v>-2676399.7000000002</v>
      </c>
      <c r="AY15" s="19">
        <f t="shared" si="7"/>
        <v>0</v>
      </c>
      <c r="AZ15" s="19">
        <f t="shared" si="8"/>
        <v>0</v>
      </c>
      <c r="BA15" s="19">
        <f t="shared" si="9"/>
        <v>0</v>
      </c>
      <c r="BB15" s="19">
        <f t="shared" si="10"/>
        <v>0</v>
      </c>
      <c r="BC15" s="19">
        <f t="shared" si="11"/>
        <v>0</v>
      </c>
      <c r="BD15" s="19">
        <f t="shared" si="12"/>
        <v>0</v>
      </c>
    </row>
    <row r="16" spans="1:56" x14ac:dyDescent="0.25">
      <c r="A16" s="1">
        <v>45717</v>
      </c>
      <c r="B16" s="20">
        <v>18742487.050000001</v>
      </c>
      <c r="C16" s="20">
        <v>18452520.969999999</v>
      </c>
      <c r="D16" s="16">
        <v>-289966.08000000002</v>
      </c>
      <c r="E16" s="20">
        <v>13022365.59</v>
      </c>
      <c r="F16" s="20">
        <v>12812933.51</v>
      </c>
      <c r="G16" s="16">
        <v>-189084.65</v>
      </c>
      <c r="H16" s="20">
        <v>678265.87</v>
      </c>
      <c r="I16" s="20">
        <v>668398.53</v>
      </c>
      <c r="J16" s="16">
        <v>1121.6300000000001</v>
      </c>
      <c r="K16" s="20">
        <v>2758846</v>
      </c>
      <c r="L16" s="20">
        <v>2642108</v>
      </c>
      <c r="M16" s="16">
        <v>-116738</v>
      </c>
      <c r="N16" s="20">
        <v>1750728.86</v>
      </c>
      <c r="O16" s="20">
        <v>1692002.45</v>
      </c>
      <c r="P16" s="16">
        <v>-58726.41</v>
      </c>
      <c r="Q16" s="20">
        <v>70314608.390000001</v>
      </c>
      <c r="R16" s="20">
        <v>69709017.109999999</v>
      </c>
      <c r="S16" s="16">
        <v>-603675.03</v>
      </c>
      <c r="T16" s="20">
        <v>140742555.50999999</v>
      </c>
      <c r="U16" s="20">
        <v>139600519.97999999</v>
      </c>
      <c r="V16" s="16">
        <v>-1140119.28</v>
      </c>
      <c r="W16" s="20">
        <v>70324204.260000005</v>
      </c>
      <c r="X16" s="20">
        <v>69718797.609999999</v>
      </c>
      <c r="Y16" s="16">
        <v>-603490.4</v>
      </c>
      <c r="Z16" s="15" t="s">
        <v>80</v>
      </c>
      <c r="AA16" s="15" t="s">
        <v>81</v>
      </c>
      <c r="AB16" s="15" t="s">
        <v>82</v>
      </c>
      <c r="AC16" s="15" t="s">
        <v>83</v>
      </c>
      <c r="AD16" s="15" t="s">
        <v>84</v>
      </c>
      <c r="AE16" s="15" t="s">
        <v>85</v>
      </c>
      <c r="AF16" s="15" t="s">
        <v>86</v>
      </c>
      <c r="AG16" s="15" t="s">
        <v>87</v>
      </c>
      <c r="AH16" s="15" t="s">
        <v>88</v>
      </c>
      <c r="AI16" s="15" t="s">
        <v>89</v>
      </c>
      <c r="AJ16" s="15" t="s">
        <v>90</v>
      </c>
      <c r="AK16" s="15" t="s">
        <v>91</v>
      </c>
      <c r="AL16" s="15" t="s">
        <v>92</v>
      </c>
      <c r="AM16" s="15" t="s">
        <v>93</v>
      </c>
      <c r="AN16" s="15" t="s">
        <v>94</v>
      </c>
      <c r="AO16" s="15" t="s">
        <v>95</v>
      </c>
      <c r="AP16" s="15" t="s">
        <v>96</v>
      </c>
      <c r="AQ16" s="15" t="s">
        <v>97</v>
      </c>
      <c r="AR16" s="20">
        <v>318334061.52999997</v>
      </c>
      <c r="AS16" s="20">
        <v>315296298.16000003</v>
      </c>
      <c r="AT16" s="16">
        <v>-3130678.22</v>
      </c>
      <c r="AU16" s="3">
        <v>-9.7999999999999997E-3</v>
      </c>
      <c r="AV16" s="26">
        <f t="shared" si="4"/>
        <v>313824486.66999996</v>
      </c>
      <c r="AW16" s="26">
        <f t="shared" si="5"/>
        <v>310962187.70999998</v>
      </c>
      <c r="AX16" s="26">
        <f t="shared" si="6"/>
        <v>-2825213.81</v>
      </c>
    </row>
    <row r="17" spans="1:57" x14ac:dyDescent="0.25">
      <c r="A17" s="1">
        <v>45748</v>
      </c>
      <c r="B17" s="20">
        <v>18471084.850000001</v>
      </c>
      <c r="C17" s="20">
        <v>18070699.170000002</v>
      </c>
      <c r="D17" s="16">
        <v>-350385.68</v>
      </c>
      <c r="E17" s="20">
        <v>12812933.51</v>
      </c>
      <c r="F17" s="20">
        <v>12886925.83</v>
      </c>
      <c r="G17" s="16">
        <v>87132.41</v>
      </c>
      <c r="H17" s="20">
        <v>668331.51</v>
      </c>
      <c r="I17" s="20">
        <v>653205.57999999996</v>
      </c>
      <c r="J17" s="16">
        <v>1027.57</v>
      </c>
      <c r="K17" s="20">
        <v>2642108</v>
      </c>
      <c r="L17" s="20">
        <v>2562160</v>
      </c>
      <c r="M17" s="16">
        <v>-79948</v>
      </c>
      <c r="N17" s="20">
        <v>1691770.95</v>
      </c>
      <c r="O17" s="20">
        <v>1613766.58</v>
      </c>
      <c r="P17" s="16">
        <v>-78004.37</v>
      </c>
      <c r="Q17" s="20">
        <v>69716524.510000005</v>
      </c>
      <c r="R17" s="20">
        <v>62004314.810000002</v>
      </c>
      <c r="S17" s="16">
        <v>-212209.7</v>
      </c>
      <c r="T17" s="20">
        <v>139575540.25999999</v>
      </c>
      <c r="U17" s="20">
        <v>124233466.79000001</v>
      </c>
      <c r="V17" s="16">
        <v>-342073.47</v>
      </c>
      <c r="W17" s="20">
        <v>69726303.620000005</v>
      </c>
      <c r="X17" s="20">
        <v>62012919.469999999</v>
      </c>
      <c r="Y17" s="16">
        <v>-213384.15</v>
      </c>
      <c r="Z17" s="20">
        <v>7500000</v>
      </c>
      <c r="AA17" s="20">
        <v>7510520.3099999996</v>
      </c>
      <c r="AB17" s="16">
        <v>10520.31</v>
      </c>
      <c r="AC17" s="20">
        <v>7500000</v>
      </c>
      <c r="AD17" s="20">
        <v>7510520.3099999996</v>
      </c>
      <c r="AE17" s="16">
        <v>10520.31</v>
      </c>
      <c r="AF17" s="20">
        <v>15000000</v>
      </c>
      <c r="AG17" s="20">
        <v>15020707.289999999</v>
      </c>
      <c r="AH17" s="16">
        <v>20707.29</v>
      </c>
      <c r="AI17" s="15"/>
      <c r="AJ17" s="15"/>
      <c r="AK17" s="18"/>
      <c r="AL17" s="15"/>
      <c r="AM17" s="15"/>
      <c r="AN17" s="18"/>
      <c r="AO17" s="15"/>
      <c r="AP17" s="15"/>
      <c r="AQ17" s="18"/>
      <c r="AR17" s="20">
        <v>345304597.20999998</v>
      </c>
      <c r="AS17" s="20">
        <v>314079206.13999999</v>
      </c>
      <c r="AT17" s="16">
        <v>-1276097.48</v>
      </c>
      <c r="AU17" s="3">
        <v>-3.7000000000000002E-3</v>
      </c>
      <c r="AV17" s="26">
        <f t="shared" si="4"/>
        <v>310970718.25999999</v>
      </c>
      <c r="AW17" s="26">
        <f t="shared" si="5"/>
        <v>279861531.64999998</v>
      </c>
      <c r="AX17" s="26">
        <f t="shared" si="6"/>
        <v>-1029893.02</v>
      </c>
      <c r="AY17" s="25">
        <f t="shared" si="7"/>
        <v>30000000</v>
      </c>
      <c r="AZ17" s="25">
        <f t="shared" si="8"/>
        <v>30041747.909999996</v>
      </c>
      <c r="BA17" s="26">
        <f>AB17+AE17+AH17</f>
        <v>41747.910000000003</v>
      </c>
      <c r="BB17" s="26">
        <f>AI17+AL17+AO17</f>
        <v>0</v>
      </c>
      <c r="BC17" s="26">
        <f t="shared" ref="BC17:BD17" si="13">AJ17+AM17+AP17</f>
        <v>0</v>
      </c>
      <c r="BD17" s="26">
        <f t="shared" si="13"/>
        <v>0</v>
      </c>
    </row>
    <row r="18" spans="1:57" x14ac:dyDescent="0.25">
      <c r="A18" s="1">
        <v>45778</v>
      </c>
      <c r="B18" s="20">
        <v>18107878.030000001</v>
      </c>
      <c r="C18" s="20">
        <v>18430421.870000001</v>
      </c>
      <c r="D18" s="16">
        <v>350314.31</v>
      </c>
      <c r="E18" s="20">
        <v>12886925.83</v>
      </c>
      <c r="F18" s="20">
        <v>12970957.390000001</v>
      </c>
      <c r="G18" s="16">
        <v>84031.56</v>
      </c>
      <c r="H18" s="20">
        <v>653205.57999999996</v>
      </c>
      <c r="I18" s="20">
        <v>639286.76</v>
      </c>
      <c r="J18" s="16">
        <v>1126.3599999999999</v>
      </c>
      <c r="K18" s="20">
        <v>2562160</v>
      </c>
      <c r="L18" s="20">
        <v>2632683</v>
      </c>
      <c r="M18" s="16">
        <v>70523</v>
      </c>
      <c r="N18" s="20">
        <v>1613766.58</v>
      </c>
      <c r="O18" s="20">
        <v>1626542.67</v>
      </c>
      <c r="P18" s="16">
        <v>12230.18</v>
      </c>
      <c r="Q18" s="20">
        <v>62022293.710000001</v>
      </c>
      <c r="R18" s="20">
        <v>43474673.539999999</v>
      </c>
      <c r="S18" s="16">
        <v>453157.68</v>
      </c>
      <c r="T18" s="20">
        <v>124267466.81999999</v>
      </c>
      <c r="U18" s="20">
        <v>87174660.950000003</v>
      </c>
      <c r="V18" s="16">
        <v>907253.01</v>
      </c>
      <c r="W18" s="20">
        <v>62030898.390000001</v>
      </c>
      <c r="X18" s="20">
        <v>43483027.659999996</v>
      </c>
      <c r="Y18" s="16">
        <v>452907.12</v>
      </c>
      <c r="Z18" s="20">
        <v>7510520.3099999996</v>
      </c>
      <c r="AA18" s="20">
        <v>7530864.0599999996</v>
      </c>
      <c r="AB18" s="16">
        <v>20343.75</v>
      </c>
      <c r="AC18" s="20">
        <v>7510520.3099999996</v>
      </c>
      <c r="AD18" s="20">
        <v>7530864.0599999996</v>
      </c>
      <c r="AE18" s="16">
        <v>20343.75</v>
      </c>
      <c r="AF18" s="20">
        <v>15020707.289999999</v>
      </c>
      <c r="AG18" s="20">
        <v>15060748.949999999</v>
      </c>
      <c r="AH18" s="16">
        <v>40041.660000000003</v>
      </c>
      <c r="AI18" s="20">
        <v>19004604</v>
      </c>
      <c r="AJ18" s="20">
        <v>19004759</v>
      </c>
      <c r="AK18" s="18">
        <v>155</v>
      </c>
      <c r="AL18" s="20">
        <v>38009208</v>
      </c>
      <c r="AM18" s="20">
        <v>38011260</v>
      </c>
      <c r="AN18" s="16">
        <v>2052</v>
      </c>
      <c r="AO18" s="20">
        <v>19004604</v>
      </c>
      <c r="AP18" s="20">
        <v>19004715</v>
      </c>
      <c r="AQ18" s="18">
        <v>111</v>
      </c>
      <c r="AR18" s="20">
        <v>314186342.85000002</v>
      </c>
      <c r="AS18" s="20">
        <v>316573412.91000003</v>
      </c>
      <c r="AT18" s="16">
        <v>2284590.38</v>
      </c>
      <c r="AU18" s="3">
        <v>7.3000000000000001E-3</v>
      </c>
      <c r="AV18" s="26">
        <f t="shared" si="4"/>
        <v>279968668.35999995</v>
      </c>
      <c r="AW18" s="26">
        <f t="shared" si="5"/>
        <v>206173028.17000002</v>
      </c>
      <c r="AX18" s="26">
        <f t="shared" si="6"/>
        <v>2248790.04</v>
      </c>
      <c r="AY18" s="25">
        <f t="shared" si="7"/>
        <v>30041747.909999996</v>
      </c>
      <c r="AZ18" s="25">
        <f t="shared" si="8"/>
        <v>30122477.07</v>
      </c>
      <c r="BA18" s="25">
        <f t="shared" si="9"/>
        <v>80729.16</v>
      </c>
      <c r="BB18" s="26">
        <f>AI18+AL18+AO18</f>
        <v>76018416</v>
      </c>
      <c r="BC18" s="26">
        <f t="shared" ref="BC18:BC26" si="14">AJ18+AM18+AP18</f>
        <v>76020734</v>
      </c>
      <c r="BD18" s="26">
        <f t="shared" ref="BD18:BD26" si="15">AK18+AN18+AQ18</f>
        <v>2318</v>
      </c>
    </row>
    <row r="19" spans="1:57" x14ac:dyDescent="0.25">
      <c r="A19" s="1">
        <v>45809</v>
      </c>
      <c r="B19" s="20">
        <v>18458397.809999999</v>
      </c>
      <c r="C19" s="20">
        <v>18409662.399999999</v>
      </c>
      <c r="D19" s="16">
        <v>-37172.410000000003</v>
      </c>
      <c r="E19" s="20">
        <v>12972142.68</v>
      </c>
      <c r="F19" s="20">
        <v>26861960.850000001</v>
      </c>
      <c r="G19" s="16">
        <v>-296832.33</v>
      </c>
      <c r="H19" s="20">
        <v>639322.76</v>
      </c>
      <c r="I19" s="20">
        <v>625245.36</v>
      </c>
      <c r="J19" s="18">
        <v>-412.14</v>
      </c>
      <c r="K19" s="20">
        <v>2632683</v>
      </c>
      <c r="L19" s="20">
        <v>2639042</v>
      </c>
      <c r="M19" s="16">
        <v>6359</v>
      </c>
      <c r="N19" s="20">
        <v>1626542.67</v>
      </c>
      <c r="O19" s="20">
        <v>1577191.66</v>
      </c>
      <c r="P19" s="16">
        <v>-48983.28</v>
      </c>
      <c r="Q19" s="20">
        <v>43474673.539999999</v>
      </c>
      <c r="R19" s="20">
        <v>44040361.439999998</v>
      </c>
      <c r="S19" s="16">
        <v>566764.5</v>
      </c>
      <c r="T19" s="20">
        <v>87174660.950000003</v>
      </c>
      <c r="U19" s="20">
        <v>88379371.420000002</v>
      </c>
      <c r="V19" s="16">
        <v>1203934.19</v>
      </c>
      <c r="W19" s="20">
        <v>43483027.659999996</v>
      </c>
      <c r="X19" s="20">
        <v>44026341.130000003</v>
      </c>
      <c r="Y19" s="16">
        <v>564582.05000000005</v>
      </c>
      <c r="Z19" s="20">
        <v>7530864.0599999996</v>
      </c>
      <c r="AA19" s="20">
        <v>7550551.5599999996</v>
      </c>
      <c r="AB19" s="16">
        <v>19687.5</v>
      </c>
      <c r="AC19" s="20">
        <v>7530864.0599999996</v>
      </c>
      <c r="AD19" s="20">
        <v>7550551.5599999996</v>
      </c>
      <c r="AE19" s="16">
        <v>19687.5</v>
      </c>
      <c r="AF19" s="20">
        <v>15060748.949999999</v>
      </c>
      <c r="AG19" s="20">
        <v>15099498.949999999</v>
      </c>
      <c r="AH19" s="16">
        <v>38750</v>
      </c>
      <c r="AI19" s="20">
        <v>19001242</v>
      </c>
      <c r="AJ19" s="20">
        <v>19053398</v>
      </c>
      <c r="AK19" s="16">
        <v>52156</v>
      </c>
      <c r="AL19" s="20">
        <v>38004223</v>
      </c>
      <c r="AM19" s="20">
        <v>38108861</v>
      </c>
      <c r="AN19" s="16">
        <v>104638</v>
      </c>
      <c r="AO19" s="20">
        <v>19001198</v>
      </c>
      <c r="AP19" s="20">
        <v>19053993</v>
      </c>
      <c r="AQ19" s="16">
        <v>52795</v>
      </c>
      <c r="AR19" s="20">
        <v>316590591.13999999</v>
      </c>
      <c r="AS19" s="20">
        <v>332976030.32999998</v>
      </c>
      <c r="AT19" s="16">
        <v>2115953.58</v>
      </c>
      <c r="AU19" s="3">
        <v>6.7000000000000002E-3</v>
      </c>
      <c r="AV19" s="26">
        <f t="shared" si="4"/>
        <v>206202225.40000001</v>
      </c>
      <c r="AW19" s="26">
        <f t="shared" si="5"/>
        <v>222342942.59999999</v>
      </c>
      <c r="AX19" s="26">
        <f t="shared" si="6"/>
        <v>2000863.86</v>
      </c>
      <c r="AY19" s="25">
        <f t="shared" si="7"/>
        <v>30122477.07</v>
      </c>
      <c r="AZ19" s="25">
        <f t="shared" si="8"/>
        <v>30200602.07</v>
      </c>
      <c r="BA19" s="25">
        <f t="shared" si="9"/>
        <v>78125</v>
      </c>
      <c r="BB19" s="26">
        <f t="shared" ref="BB19:BB26" si="16">AI19+AL19+AO19</f>
        <v>76006663</v>
      </c>
      <c r="BC19" s="26">
        <f t="shared" si="14"/>
        <v>76216252</v>
      </c>
      <c r="BD19" s="26">
        <f t="shared" si="15"/>
        <v>209589</v>
      </c>
    </row>
    <row r="20" spans="1:57" x14ac:dyDescent="0.25">
      <c r="A20" s="1">
        <v>45839</v>
      </c>
      <c r="B20" s="20">
        <v>18443403.530000001</v>
      </c>
      <c r="C20" s="20">
        <v>18591016.390000001</v>
      </c>
      <c r="D20" s="16">
        <v>307405.52</v>
      </c>
      <c r="E20" s="20">
        <v>26861960.850000001</v>
      </c>
      <c r="F20" s="20">
        <v>27351066.440000001</v>
      </c>
      <c r="G20" s="16">
        <v>525619.55000000005</v>
      </c>
      <c r="H20" s="20">
        <v>625052.15</v>
      </c>
      <c r="I20" s="20">
        <v>607509.71</v>
      </c>
      <c r="J20" s="16">
        <v>1058.98</v>
      </c>
      <c r="K20" s="20">
        <v>2639042</v>
      </c>
      <c r="L20" s="20">
        <v>2813712</v>
      </c>
      <c r="M20" s="16">
        <v>174670</v>
      </c>
      <c r="N20" s="20">
        <v>1576406.45</v>
      </c>
      <c r="O20" s="20">
        <v>1624049.93</v>
      </c>
      <c r="P20" s="16">
        <v>47643.48</v>
      </c>
      <c r="Q20" s="20">
        <v>44487447.740000002</v>
      </c>
      <c r="R20" s="20">
        <v>44901075.560000002</v>
      </c>
      <c r="S20" s="16">
        <v>821867.16</v>
      </c>
      <c r="T20" s="20">
        <v>89266131.090000004</v>
      </c>
      <c r="U20" s="20">
        <v>90061390.599999994</v>
      </c>
      <c r="V20" s="16">
        <v>1604781.13</v>
      </c>
      <c r="W20" s="20">
        <v>44493619.329999998</v>
      </c>
      <c r="X20" s="20">
        <v>44908949.5</v>
      </c>
      <c r="Y20" s="16">
        <v>823569.4</v>
      </c>
      <c r="Z20" s="20">
        <v>8806664.9700000007</v>
      </c>
      <c r="AA20" s="20">
        <v>8843485.2400000002</v>
      </c>
      <c r="AB20" s="16">
        <v>36779.35</v>
      </c>
      <c r="AC20" s="20">
        <v>8806664.9700000007</v>
      </c>
      <c r="AD20" s="20">
        <v>8843485.2400000002</v>
      </c>
      <c r="AE20" s="16">
        <v>36779.35</v>
      </c>
      <c r="AF20" s="20">
        <v>17613483.5</v>
      </c>
      <c r="AG20" s="20">
        <v>17679928.620000001</v>
      </c>
      <c r="AH20" s="16">
        <v>73558.62</v>
      </c>
      <c r="AI20" s="20">
        <v>19054924</v>
      </c>
      <c r="AJ20" s="20">
        <v>19116692</v>
      </c>
      <c r="AK20" s="16">
        <v>55393</v>
      </c>
      <c r="AL20" s="20">
        <v>38111908</v>
      </c>
      <c r="AM20" s="20">
        <v>38236657</v>
      </c>
      <c r="AN20" s="16">
        <v>111999</v>
      </c>
      <c r="AO20" s="20">
        <v>19055518</v>
      </c>
      <c r="AP20" s="20">
        <v>19117994</v>
      </c>
      <c r="AQ20" s="16">
        <v>56101</v>
      </c>
      <c r="AR20" s="20">
        <v>334842226.57999998</v>
      </c>
      <c r="AS20" s="20">
        <v>337697012.23000002</v>
      </c>
      <c r="AT20" s="16">
        <v>4547225.54</v>
      </c>
      <c r="AU20" s="3">
        <v>1.3599999999999999E-2</v>
      </c>
      <c r="AV20" s="26">
        <f t="shared" si="4"/>
        <v>224177614.69</v>
      </c>
      <c r="AW20" s="26">
        <f t="shared" si="5"/>
        <v>226421008.20000002</v>
      </c>
      <c r="AX20" s="26">
        <f t="shared" si="6"/>
        <v>4084301.7399999998</v>
      </c>
      <c r="AY20" s="25">
        <f t="shared" si="7"/>
        <v>35226813.439999998</v>
      </c>
      <c r="AZ20" s="25">
        <f t="shared" si="8"/>
        <v>35366899.100000001</v>
      </c>
      <c r="BA20" s="25">
        <f t="shared" si="9"/>
        <v>147117.32</v>
      </c>
      <c r="BB20" s="26">
        <f t="shared" si="16"/>
        <v>76222350</v>
      </c>
      <c r="BC20" s="26">
        <f t="shared" si="14"/>
        <v>76471343</v>
      </c>
      <c r="BD20" s="26">
        <f t="shared" si="15"/>
        <v>223493</v>
      </c>
    </row>
    <row r="21" spans="1:57" x14ac:dyDescent="0.25">
      <c r="A21" s="1">
        <v>45870</v>
      </c>
      <c r="B21" s="20">
        <v>18594299.5</v>
      </c>
      <c r="C21" s="20">
        <v>18451650.07</v>
      </c>
      <c r="D21" s="16">
        <v>121909.75</v>
      </c>
      <c r="E21" s="20">
        <v>27351066.440000001</v>
      </c>
      <c r="F21" s="20">
        <v>27081848.010000002</v>
      </c>
      <c r="G21" s="16">
        <v>-268034.21999999997</v>
      </c>
      <c r="H21" s="20">
        <v>607120.21</v>
      </c>
      <c r="I21" s="20">
        <v>593805.43999999994</v>
      </c>
      <c r="J21" s="18">
        <v>907.07</v>
      </c>
      <c r="K21" s="20">
        <v>2813712</v>
      </c>
      <c r="L21" s="20">
        <v>2814019</v>
      </c>
      <c r="M21" s="18">
        <v>307</v>
      </c>
      <c r="N21" s="20">
        <v>1624049.93</v>
      </c>
      <c r="O21" s="20">
        <v>1593741.79</v>
      </c>
      <c r="P21" s="16">
        <v>-30308.14</v>
      </c>
      <c r="Q21" s="20">
        <v>44969099.140000001</v>
      </c>
      <c r="R21" s="20">
        <v>44927001.719999999</v>
      </c>
      <c r="S21" s="16">
        <v>-56994.69</v>
      </c>
      <c r="T21" s="20">
        <v>90172310.870000005</v>
      </c>
      <c r="U21" s="20">
        <v>90023198.769999996</v>
      </c>
      <c r="V21" s="16">
        <v>-88722.51</v>
      </c>
      <c r="W21" s="20">
        <v>44976976.659999996</v>
      </c>
      <c r="X21" s="20">
        <v>44935501.439999998</v>
      </c>
      <c r="Y21" s="16">
        <v>-56364.62</v>
      </c>
      <c r="Z21" s="20">
        <v>7592066.5800000001</v>
      </c>
      <c r="AA21" s="20">
        <v>7666257.6299999999</v>
      </c>
      <c r="AB21" s="16">
        <v>74191.05</v>
      </c>
      <c r="AC21" s="20">
        <v>7592066.5800000001</v>
      </c>
      <c r="AD21" s="20">
        <v>7666257.6299999999</v>
      </c>
      <c r="AE21" s="16">
        <v>74191.05</v>
      </c>
      <c r="AF21" s="20">
        <v>15184286.619999999</v>
      </c>
      <c r="AG21" s="20">
        <v>15332668.75</v>
      </c>
      <c r="AH21" s="16">
        <v>148382.13</v>
      </c>
      <c r="AI21" s="20">
        <v>19110795</v>
      </c>
      <c r="AJ21" s="20">
        <v>19189827</v>
      </c>
      <c r="AK21" s="16">
        <v>79032</v>
      </c>
      <c r="AL21" s="20">
        <v>38224864</v>
      </c>
      <c r="AM21" s="20">
        <v>38383750</v>
      </c>
      <c r="AN21" s="16">
        <v>158886</v>
      </c>
      <c r="AO21" s="20">
        <v>19112097</v>
      </c>
      <c r="AP21" s="20">
        <v>19191239</v>
      </c>
      <c r="AQ21" s="16">
        <v>79142</v>
      </c>
      <c r="AR21" s="20">
        <v>337924810.52999997</v>
      </c>
      <c r="AS21" s="20">
        <v>337850766.25</v>
      </c>
      <c r="AT21" s="16">
        <v>106523.87</v>
      </c>
      <c r="AU21" s="3">
        <v>2.9999999999999997E-4</v>
      </c>
      <c r="AV21" s="26">
        <f t="shared" si="4"/>
        <v>226670872.81999999</v>
      </c>
      <c r="AW21" s="26">
        <f t="shared" si="5"/>
        <v>226013005.44999999</v>
      </c>
      <c r="AX21" s="26">
        <f t="shared" si="6"/>
        <v>-347299.22</v>
      </c>
      <c r="AY21" s="25">
        <f t="shared" si="7"/>
        <v>30368419.780000001</v>
      </c>
      <c r="AZ21" s="25">
        <f t="shared" si="8"/>
        <v>30665184.009999998</v>
      </c>
      <c r="BA21" s="25">
        <f t="shared" si="9"/>
        <v>296764.23</v>
      </c>
      <c r="BB21" s="26">
        <f t="shared" si="16"/>
        <v>76447756</v>
      </c>
      <c r="BC21" s="26">
        <f t="shared" si="14"/>
        <v>76764816</v>
      </c>
      <c r="BD21" s="26">
        <f t="shared" si="15"/>
        <v>317060</v>
      </c>
    </row>
    <row r="22" spans="1:57" x14ac:dyDescent="0.25">
      <c r="A22" s="1">
        <v>45901</v>
      </c>
      <c r="B22" s="20">
        <v>18485542.41</v>
      </c>
      <c r="C22" s="20">
        <v>18780588.829999998</v>
      </c>
      <c r="D22" s="16">
        <v>387989.58</v>
      </c>
      <c r="E22" s="20">
        <v>27081848.010000002</v>
      </c>
      <c r="F22" s="20">
        <v>27106652.09</v>
      </c>
      <c r="G22" s="16">
        <v>24804.080000000002</v>
      </c>
      <c r="H22" s="20">
        <v>593805.43999999994</v>
      </c>
      <c r="I22" s="20">
        <v>583122.15</v>
      </c>
      <c r="J22" s="18">
        <v>613</v>
      </c>
      <c r="K22" s="20">
        <v>2814019</v>
      </c>
      <c r="L22" s="20">
        <v>2926545</v>
      </c>
      <c r="M22" s="16">
        <v>112526</v>
      </c>
      <c r="N22" s="20">
        <v>1593741.79</v>
      </c>
      <c r="O22" s="20">
        <v>1589776.02</v>
      </c>
      <c r="P22" s="16">
        <v>-3965.77</v>
      </c>
      <c r="Q22" s="20">
        <v>45373880.899999999</v>
      </c>
      <c r="R22" s="20">
        <v>45760763.18</v>
      </c>
      <c r="S22" s="16">
        <v>836923.57</v>
      </c>
      <c r="T22" s="20">
        <v>90903971.989999995</v>
      </c>
      <c r="U22" s="20">
        <v>91691286.689999998</v>
      </c>
      <c r="V22" s="16">
        <v>1673437.11</v>
      </c>
      <c r="W22" s="20">
        <v>45382380.799999997</v>
      </c>
      <c r="X22" s="20">
        <v>45768891.969999999</v>
      </c>
      <c r="Y22" s="16">
        <v>836552.72</v>
      </c>
      <c r="Z22" s="20">
        <v>7664640.5999999996</v>
      </c>
      <c r="AA22" s="20">
        <v>7718577.1399999997</v>
      </c>
      <c r="AB22" s="16">
        <v>53936.54</v>
      </c>
      <c r="AC22" s="20">
        <v>7664640.5999999996</v>
      </c>
      <c r="AD22" s="20">
        <v>7718577.1399999997</v>
      </c>
      <c r="AE22" s="16">
        <v>53936.54</v>
      </c>
      <c r="AF22" s="20">
        <v>15329434.689999999</v>
      </c>
      <c r="AG22" s="20">
        <v>15437308.07</v>
      </c>
      <c r="AH22" s="16">
        <v>107873.38</v>
      </c>
      <c r="AI22" s="20">
        <v>19191839</v>
      </c>
      <c r="AJ22" s="20">
        <v>19276854</v>
      </c>
      <c r="AK22" s="16">
        <v>85015</v>
      </c>
      <c r="AL22" s="20">
        <v>38387774</v>
      </c>
      <c r="AM22" s="20">
        <v>38557611</v>
      </c>
      <c r="AN22" s="16">
        <v>169837</v>
      </c>
      <c r="AO22" s="20">
        <v>19193249</v>
      </c>
      <c r="AP22" s="20">
        <v>19278019</v>
      </c>
      <c r="AQ22" s="16">
        <v>84770</v>
      </c>
      <c r="AR22" s="20">
        <v>339660768.23000002</v>
      </c>
      <c r="AS22" s="20">
        <v>342194572.27999997</v>
      </c>
      <c r="AT22" s="16">
        <v>4294248.75</v>
      </c>
      <c r="AU22" s="3">
        <v>1.26E-2</v>
      </c>
      <c r="AV22" s="26">
        <f t="shared" si="4"/>
        <v>227821429.55000001</v>
      </c>
      <c r="AW22" s="26">
        <f t="shared" si="5"/>
        <v>229691304.91</v>
      </c>
      <c r="AX22" s="26">
        <f t="shared" si="6"/>
        <v>3760320.0599999996</v>
      </c>
      <c r="AY22" s="25">
        <f t="shared" si="7"/>
        <v>30658715.890000001</v>
      </c>
      <c r="AZ22" s="25">
        <f t="shared" si="8"/>
        <v>30874462.350000001</v>
      </c>
      <c r="BA22" s="25">
        <f t="shared" si="9"/>
        <v>215746.46000000002</v>
      </c>
      <c r="BB22" s="26">
        <f t="shared" si="16"/>
        <v>76772862</v>
      </c>
      <c r="BC22" s="26">
        <f t="shared" si="14"/>
        <v>77112484</v>
      </c>
      <c r="BD22" s="26">
        <f t="shared" si="15"/>
        <v>339622</v>
      </c>
    </row>
    <row r="23" spans="1:57" x14ac:dyDescent="0.25">
      <c r="A23" s="1">
        <v>45931</v>
      </c>
      <c r="B23" s="20">
        <v>18780133.649999999</v>
      </c>
      <c r="C23" s="20">
        <v>19049892.719999999</v>
      </c>
      <c r="D23" s="16">
        <v>362406.63</v>
      </c>
      <c r="E23" s="20">
        <v>27106652.09</v>
      </c>
      <c r="F23" s="20">
        <v>27169267.25</v>
      </c>
      <c r="G23" s="16">
        <v>414027.77</v>
      </c>
      <c r="H23" s="20">
        <v>582983.25</v>
      </c>
      <c r="I23" s="20">
        <v>565174.89</v>
      </c>
      <c r="J23" s="16">
        <v>1031.98</v>
      </c>
      <c r="K23" s="20">
        <v>2926545</v>
      </c>
      <c r="L23" s="20">
        <v>3138621</v>
      </c>
      <c r="M23" s="16">
        <v>212076</v>
      </c>
      <c r="N23" s="20">
        <v>1589580.57</v>
      </c>
      <c r="O23" s="20">
        <v>1622680.4</v>
      </c>
      <c r="P23" s="16">
        <v>33099.83</v>
      </c>
      <c r="Q23" s="20">
        <v>45763147.189999998</v>
      </c>
      <c r="R23" s="20">
        <v>41322018.280000001</v>
      </c>
      <c r="S23" s="16">
        <v>562867.81000000006</v>
      </c>
      <c r="T23" s="20">
        <v>91696054.870000005</v>
      </c>
      <c r="U23" s="20">
        <v>82799510.709999993</v>
      </c>
      <c r="V23" s="16">
        <v>1107516.96</v>
      </c>
      <c r="W23" s="20">
        <v>45771276.060000002</v>
      </c>
      <c r="X23" s="20">
        <v>41331006.420000002</v>
      </c>
      <c r="Y23" s="16">
        <v>563727.07999999996</v>
      </c>
      <c r="Z23" s="20">
        <v>7718577.1399999997</v>
      </c>
      <c r="AA23" s="20">
        <v>12760088.25</v>
      </c>
      <c r="AB23" s="16">
        <v>41511.11</v>
      </c>
      <c r="AC23" s="20">
        <v>7718577.1399999997</v>
      </c>
      <c r="AD23" s="20">
        <v>12760088.25</v>
      </c>
      <c r="AE23" s="16">
        <v>41511.11</v>
      </c>
      <c r="AF23" s="20">
        <v>15437308.07</v>
      </c>
      <c r="AG23" s="20">
        <v>25520317.170000002</v>
      </c>
      <c r="AH23" s="16">
        <v>83009.100000000006</v>
      </c>
      <c r="AI23" s="20">
        <v>19277470</v>
      </c>
      <c r="AJ23" s="20">
        <v>19384566</v>
      </c>
      <c r="AK23" s="16">
        <v>107096</v>
      </c>
      <c r="AL23" s="20">
        <v>38602781</v>
      </c>
      <c r="AM23" s="20">
        <v>38839674</v>
      </c>
      <c r="AN23" s="16">
        <v>303480</v>
      </c>
      <c r="AO23" s="20">
        <v>19278634</v>
      </c>
      <c r="AP23" s="20">
        <v>19443101</v>
      </c>
      <c r="AQ23" s="16">
        <v>164467</v>
      </c>
      <c r="AR23" s="20">
        <v>342249720.02999997</v>
      </c>
      <c r="AS23" s="20">
        <v>345706006.33999997</v>
      </c>
      <c r="AT23" s="16">
        <v>3867828.38</v>
      </c>
      <c r="AU23" s="3">
        <v>1.1299999999999999E-2</v>
      </c>
      <c r="AV23" s="26">
        <f t="shared" si="4"/>
        <v>229700247.11000001</v>
      </c>
      <c r="AW23" s="26">
        <f t="shared" si="5"/>
        <v>212236870.26999998</v>
      </c>
      <c r="AX23" s="26">
        <f t="shared" si="6"/>
        <v>3011578.23</v>
      </c>
      <c r="AY23" s="25">
        <f t="shared" si="7"/>
        <v>30874462.350000001</v>
      </c>
      <c r="AZ23" s="25">
        <f t="shared" si="8"/>
        <v>51040493.670000002</v>
      </c>
      <c r="BA23" s="25">
        <f t="shared" si="9"/>
        <v>166031.32</v>
      </c>
      <c r="BB23" s="26">
        <f t="shared" si="16"/>
        <v>77158885</v>
      </c>
      <c r="BC23" s="26">
        <f t="shared" si="14"/>
        <v>77667341</v>
      </c>
      <c r="BD23" s="26">
        <f t="shared" si="15"/>
        <v>575043</v>
      </c>
    </row>
    <row r="24" spans="1:57" x14ac:dyDescent="0.25">
      <c r="A24" s="1">
        <v>45962</v>
      </c>
      <c r="B24" s="20">
        <v>19049892.719999999</v>
      </c>
      <c r="C24" s="15">
        <v>19204126.710000001</v>
      </c>
      <c r="D24" s="16">
        <v>154233.99</v>
      </c>
      <c r="E24" s="20">
        <v>27169267.25</v>
      </c>
      <c r="F24" s="15">
        <v>27119848.550000001</v>
      </c>
      <c r="G24" s="16">
        <v>-46199.519999999997</v>
      </c>
      <c r="H24" s="20">
        <v>565174.89</v>
      </c>
      <c r="I24" s="15">
        <v>542197.36</v>
      </c>
      <c r="J24" s="18">
        <v>803.2</v>
      </c>
      <c r="K24" s="15">
        <v>3138621</v>
      </c>
      <c r="L24" s="20">
        <v>3112190</v>
      </c>
      <c r="M24" s="16">
        <v>-26431</v>
      </c>
      <c r="N24" s="20">
        <v>1622680.4</v>
      </c>
      <c r="O24" s="20">
        <v>1621505.44</v>
      </c>
      <c r="P24" s="16">
        <v>-1174.96</v>
      </c>
      <c r="Q24" s="20">
        <v>41322018.280000001</v>
      </c>
      <c r="R24" s="20">
        <v>41644022.490000002</v>
      </c>
      <c r="S24" s="18">
        <v>326483.86</v>
      </c>
      <c r="T24" s="15">
        <v>82799510.709999993</v>
      </c>
      <c r="U24" s="15">
        <v>83455116.349999994</v>
      </c>
      <c r="V24" s="18">
        <v>659363.1</v>
      </c>
      <c r="W24" s="15">
        <v>41331006.420000002</v>
      </c>
      <c r="X24" s="15">
        <v>41658447.57</v>
      </c>
      <c r="Y24" s="18">
        <v>331920.8</v>
      </c>
      <c r="Z24" s="15">
        <v>12761700.859999999</v>
      </c>
      <c r="AA24" s="20">
        <v>12797427.16</v>
      </c>
      <c r="AB24" s="16">
        <v>35726.29</v>
      </c>
      <c r="AC24" s="15">
        <v>12761700.859999999</v>
      </c>
      <c r="AD24" s="20">
        <v>12797427.16</v>
      </c>
      <c r="AE24" s="18">
        <v>35726.29</v>
      </c>
      <c r="AF24" s="15">
        <v>25523542.43</v>
      </c>
      <c r="AG24" s="20">
        <v>25594606.66</v>
      </c>
      <c r="AH24" s="18">
        <v>71064.23</v>
      </c>
      <c r="AI24" s="15">
        <v>19385951</v>
      </c>
      <c r="AJ24" s="20">
        <v>19395332</v>
      </c>
      <c r="AK24" s="18">
        <v>23009</v>
      </c>
      <c r="AL24" s="15">
        <v>38841064</v>
      </c>
      <c r="AM24" s="20">
        <v>38877598</v>
      </c>
      <c r="AN24" s="18">
        <v>39769</v>
      </c>
      <c r="AO24" s="15">
        <v>19444487</v>
      </c>
      <c r="AP24" s="20">
        <v>19478057</v>
      </c>
      <c r="AQ24" s="18">
        <v>47195</v>
      </c>
      <c r="AR24" s="20">
        <v>345716617.81999999</v>
      </c>
      <c r="AS24" s="20">
        <v>347297902.44999999</v>
      </c>
      <c r="AT24" s="16">
        <v>1521489.28</v>
      </c>
      <c r="AU24" s="3">
        <v>4.4000000000000003E-3</v>
      </c>
      <c r="AV24" s="26">
        <f t="shared" si="4"/>
        <v>212236870.26999998</v>
      </c>
      <c r="AW24" s="26">
        <f t="shared" si="5"/>
        <v>213623759.03000003</v>
      </c>
      <c r="AX24" s="26">
        <f t="shared" si="6"/>
        <v>1426605.43</v>
      </c>
      <c r="AY24" s="25">
        <f t="shared" si="7"/>
        <v>51046944.149999999</v>
      </c>
      <c r="AZ24" s="25">
        <f t="shared" si="8"/>
        <v>51189460.980000004</v>
      </c>
      <c r="BA24" s="25">
        <f t="shared" si="9"/>
        <v>142516.81</v>
      </c>
      <c r="BB24" s="26">
        <f t="shared" si="16"/>
        <v>77671502</v>
      </c>
      <c r="BC24" s="26">
        <f t="shared" si="14"/>
        <v>77750987</v>
      </c>
      <c r="BD24" s="26">
        <f t="shared" si="15"/>
        <v>109973</v>
      </c>
    </row>
    <row r="25" spans="1:57" s="35" customFormat="1" x14ac:dyDescent="0.25">
      <c r="A25" s="27">
        <v>45992</v>
      </c>
      <c r="B25" s="28">
        <v>19204126.710000001</v>
      </c>
      <c r="C25" s="28">
        <v>19032239.34</v>
      </c>
      <c r="D25" s="29">
        <v>-171887.37</v>
      </c>
      <c r="E25" s="28">
        <v>27119848.550000001</v>
      </c>
      <c r="F25" s="28">
        <v>26963412.84</v>
      </c>
      <c r="G25" s="29">
        <v>-120098</v>
      </c>
      <c r="H25" s="28">
        <v>542197.36</v>
      </c>
      <c r="I25" s="28">
        <v>517325.95</v>
      </c>
      <c r="J25" s="29">
        <v>-790.24</v>
      </c>
      <c r="K25" s="28">
        <v>3112190</v>
      </c>
      <c r="L25" s="28">
        <v>3091449</v>
      </c>
      <c r="M25" s="30">
        <v>-20741</v>
      </c>
      <c r="N25" s="31">
        <v>1621505.44</v>
      </c>
      <c r="O25" s="31">
        <v>1605982.74</v>
      </c>
      <c r="P25" s="30">
        <v>-15522.7</v>
      </c>
      <c r="Q25" s="31">
        <v>41644022.490000002</v>
      </c>
      <c r="R25" s="28">
        <v>41522230.759999998</v>
      </c>
      <c r="S25" s="29">
        <v>-120105.52</v>
      </c>
      <c r="T25" s="28">
        <v>83455116.349999994</v>
      </c>
      <c r="U25" s="28">
        <v>83217088.859999999</v>
      </c>
      <c r="V25" s="29">
        <v>-235069.52</v>
      </c>
      <c r="W25" s="28">
        <v>41658447.57</v>
      </c>
      <c r="X25" s="28">
        <v>41532145.509999998</v>
      </c>
      <c r="Y25" s="29">
        <v>-124615.85</v>
      </c>
      <c r="Z25" s="28">
        <v>12797427.16</v>
      </c>
      <c r="AA25" s="28">
        <v>12815421.859999999</v>
      </c>
      <c r="AB25" s="30">
        <v>17743.34</v>
      </c>
      <c r="AC25" s="28">
        <v>12797427.16</v>
      </c>
      <c r="AD25" s="28">
        <v>12815421.859999999</v>
      </c>
      <c r="AE25" s="29">
        <v>17743.34</v>
      </c>
      <c r="AF25" s="28">
        <v>25594606.66</v>
      </c>
      <c r="AG25" s="28">
        <v>25630137.760000002</v>
      </c>
      <c r="AH25" s="29">
        <v>35056.17</v>
      </c>
      <c r="AI25" s="28">
        <v>19395332</v>
      </c>
      <c r="AJ25" s="28">
        <v>19374438</v>
      </c>
      <c r="AK25" s="29">
        <v>-16615</v>
      </c>
      <c r="AL25" s="31">
        <v>38877598</v>
      </c>
      <c r="AM25" s="28">
        <v>38840063</v>
      </c>
      <c r="AN25" s="29">
        <v>-28974</v>
      </c>
      <c r="AO25" s="31">
        <v>19478057</v>
      </c>
      <c r="AP25" s="28">
        <v>19457275</v>
      </c>
      <c r="AQ25" s="29">
        <v>-16503</v>
      </c>
      <c r="AR25" s="31">
        <v>347297902.44999999</v>
      </c>
      <c r="AS25" s="31">
        <v>346414632.48000002</v>
      </c>
      <c r="AT25" s="30">
        <v>-930379.35</v>
      </c>
      <c r="AU25" s="32">
        <v>-2.6800000000000001E-3</v>
      </c>
      <c r="AV25" s="33">
        <f t="shared" si="4"/>
        <v>213623759.03000003</v>
      </c>
      <c r="AW25" s="33">
        <f t="shared" si="5"/>
        <v>212784443.25999996</v>
      </c>
      <c r="AX25" s="33">
        <f t="shared" si="6"/>
        <v>-772566.5</v>
      </c>
      <c r="AY25" s="34">
        <f t="shared" si="7"/>
        <v>51189460.980000004</v>
      </c>
      <c r="AZ25" s="34">
        <f t="shared" si="8"/>
        <v>51260981.480000004</v>
      </c>
      <c r="BA25" s="34">
        <f t="shared" si="9"/>
        <v>70542.850000000006</v>
      </c>
      <c r="BB25" s="33">
        <f t="shared" si="16"/>
        <v>77750987</v>
      </c>
      <c r="BC25" s="33">
        <f t="shared" si="14"/>
        <v>77671776</v>
      </c>
      <c r="BD25" s="33">
        <f t="shared" si="15"/>
        <v>-62092</v>
      </c>
    </row>
    <row r="26" spans="1:57" x14ac:dyDescent="0.25">
      <c r="A26" s="1">
        <v>46023</v>
      </c>
      <c r="B26" s="15">
        <v>19032239</v>
      </c>
      <c r="C26" s="15">
        <v>19190619</v>
      </c>
      <c r="D26" s="18">
        <v>163602.75</v>
      </c>
      <c r="E26" s="15">
        <v>26963413</v>
      </c>
      <c r="F26" s="15">
        <v>27011235</v>
      </c>
      <c r="G26" s="18">
        <v>63717.06</v>
      </c>
      <c r="H26" s="15">
        <v>517326</v>
      </c>
      <c r="I26" s="15">
        <v>505429</v>
      </c>
      <c r="J26" s="18">
        <v>211.13</v>
      </c>
      <c r="K26" s="15">
        <v>3091449</v>
      </c>
      <c r="L26" s="15">
        <v>3141126</v>
      </c>
      <c r="M26" s="18">
        <v>49677</v>
      </c>
      <c r="N26" s="20">
        <v>1605982.74</v>
      </c>
      <c r="O26" s="15">
        <v>1585854.82</v>
      </c>
      <c r="P26" s="16">
        <v>-20127.919999999998</v>
      </c>
      <c r="Q26" s="15">
        <v>41522231</v>
      </c>
      <c r="R26" s="15">
        <v>41865309</v>
      </c>
      <c r="S26" s="18">
        <v>185899.7</v>
      </c>
      <c r="T26" s="15">
        <v>83217089</v>
      </c>
      <c r="U26" s="15">
        <v>83784413</v>
      </c>
      <c r="V26" s="18">
        <v>303392.42</v>
      </c>
      <c r="W26" s="15">
        <v>41532146</v>
      </c>
      <c r="X26" s="15">
        <v>41873832</v>
      </c>
      <c r="Y26" s="18">
        <v>184508.19</v>
      </c>
      <c r="Z26" s="15">
        <v>12815421.859999999</v>
      </c>
      <c r="AA26" s="15">
        <v>12847556.07</v>
      </c>
      <c r="AB26" s="18">
        <v>36402.1</v>
      </c>
      <c r="AC26" s="15">
        <v>12815421.859999999</v>
      </c>
      <c r="AD26" s="15">
        <v>12847556.07</v>
      </c>
      <c r="AE26" s="18">
        <v>36402.1</v>
      </c>
      <c r="AF26" s="15">
        <v>25630137.760000002</v>
      </c>
      <c r="AG26" s="15">
        <v>25695371.050000001</v>
      </c>
      <c r="AH26" s="18">
        <v>73769.11</v>
      </c>
      <c r="AI26" s="15">
        <v>19374438</v>
      </c>
      <c r="AJ26" s="15">
        <v>19676285</v>
      </c>
      <c r="AK26" s="18">
        <v>302532</v>
      </c>
      <c r="AL26" s="15">
        <v>38840063</v>
      </c>
      <c r="AM26" s="15">
        <v>39446426</v>
      </c>
      <c r="AN26" s="18">
        <v>607732</v>
      </c>
      <c r="AO26" s="15">
        <v>19457275</v>
      </c>
      <c r="AP26" s="15">
        <v>19760900</v>
      </c>
      <c r="AQ26" s="18">
        <v>304309</v>
      </c>
      <c r="AR26" s="20">
        <v>343323184.22000003</v>
      </c>
      <c r="AS26" s="20">
        <v>346090786.00999999</v>
      </c>
      <c r="AT26" s="16">
        <v>2112349.64</v>
      </c>
      <c r="AU26" s="3">
        <v>6.1500000000000001E-3</v>
      </c>
      <c r="AV26" s="26">
        <f t="shared" si="4"/>
        <v>212784444</v>
      </c>
      <c r="AW26" s="26">
        <f t="shared" si="5"/>
        <v>214230837</v>
      </c>
      <c r="AX26" s="26">
        <f t="shared" si="6"/>
        <v>901331.25000000012</v>
      </c>
      <c r="AY26" s="25">
        <f>Z26+AC26+AF26</f>
        <v>51260981.480000004</v>
      </c>
      <c r="AZ26" s="25">
        <f>AA26+AD26+AG26</f>
        <v>51390483.189999998</v>
      </c>
      <c r="BA26" s="25">
        <f>AB26+AE26+AH26</f>
        <v>146573.31</v>
      </c>
      <c r="BB26" s="26">
        <f t="shared" si="16"/>
        <v>77671776</v>
      </c>
      <c r="BC26" s="26">
        <f t="shared" si="14"/>
        <v>78883611</v>
      </c>
      <c r="BD26" s="26">
        <f t="shared" si="15"/>
        <v>1214573</v>
      </c>
      <c r="BE26" s="24">
        <f>BD26+BA26+AX26</f>
        <v>2262477.56</v>
      </c>
    </row>
    <row r="27" spans="1:57" x14ac:dyDescent="0.25">
      <c r="A27" s="36">
        <v>46023</v>
      </c>
      <c r="B27" s="19">
        <v>19032239</v>
      </c>
      <c r="C27" s="19">
        <v>19190619</v>
      </c>
      <c r="D27" s="19">
        <v>192727.2</v>
      </c>
      <c r="E27" s="19">
        <v>26963413</v>
      </c>
      <c r="F27" s="19">
        <v>27011235</v>
      </c>
      <c r="G27" s="19">
        <v>63717.06</v>
      </c>
      <c r="H27" s="19">
        <v>517326</v>
      </c>
      <c r="I27" s="19">
        <v>505429</v>
      </c>
      <c r="J27" s="19">
        <v>211.13</v>
      </c>
      <c r="K27" s="19">
        <v>3091449</v>
      </c>
      <c r="L27" s="19">
        <v>3141126</v>
      </c>
      <c r="M27" s="19">
        <v>49677</v>
      </c>
      <c r="N27" s="24">
        <v>1605982.74</v>
      </c>
      <c r="O27" s="19">
        <v>1585854.82</v>
      </c>
      <c r="P27" s="24">
        <v>-20127.919999999998</v>
      </c>
      <c r="Q27" s="19">
        <v>41522231</v>
      </c>
      <c r="R27" s="19">
        <v>41865309</v>
      </c>
      <c r="S27" s="19">
        <v>366949.62</v>
      </c>
      <c r="T27" s="19">
        <v>83217089</v>
      </c>
      <c r="U27" s="19">
        <v>83784413</v>
      </c>
      <c r="V27" s="19">
        <v>614586.85</v>
      </c>
      <c r="W27" s="19">
        <v>41532146</v>
      </c>
      <c r="X27" s="19">
        <v>41873832</v>
      </c>
      <c r="Y27" s="19">
        <v>365557.92</v>
      </c>
      <c r="Z27" s="19">
        <v>12815421.859999999</v>
      </c>
      <c r="AA27" s="19">
        <v>12847556.07</v>
      </c>
      <c r="AB27" s="19">
        <v>36402.1</v>
      </c>
      <c r="AC27" s="19">
        <v>12815421.859999999</v>
      </c>
      <c r="AD27" s="19">
        <v>12847556.07</v>
      </c>
      <c r="AE27" s="19">
        <v>36402.1</v>
      </c>
      <c r="AF27" s="19">
        <v>25630137.760000002</v>
      </c>
      <c r="AG27" s="19">
        <v>25695371.050000001</v>
      </c>
      <c r="AH27" s="19">
        <v>73769.11</v>
      </c>
      <c r="AI27" s="19">
        <v>19374438</v>
      </c>
      <c r="AJ27" s="19">
        <v>19676285</v>
      </c>
      <c r="AK27" s="19">
        <v>302532</v>
      </c>
      <c r="AL27" s="19">
        <v>38840063</v>
      </c>
      <c r="AM27" s="19">
        <v>39446426</v>
      </c>
      <c r="AN27" s="19">
        <v>607732</v>
      </c>
      <c r="AO27" s="19">
        <v>19457275</v>
      </c>
      <c r="AP27" s="19">
        <v>19760900</v>
      </c>
      <c r="AQ27" s="19">
        <v>304309</v>
      </c>
      <c r="AR27" s="24">
        <v>343323184.22000003</v>
      </c>
      <c r="AS27" s="24">
        <v>346090786.00999999</v>
      </c>
      <c r="AT27" s="24">
        <v>2814768.17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Monthly_returns</vt:lpstr>
      <vt:lpstr>Capital_Allocations</vt:lpstr>
      <vt:lpstr>pnl_Allocations</vt:lpstr>
      <vt:lpstr>Com_compo</vt:lpstr>
      <vt:lpstr>Eq_compo</vt:lpstr>
      <vt:lpstr>Eq_w_cdne</vt:lpstr>
      <vt:lpstr>FI_compo</vt:lpstr>
      <vt:lpstr>LS_compo</vt:lpstr>
      <vt:lpstr>Crypto_compo</vt:lpstr>
      <vt:lpstr>Accounts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Kechagias, Konstantinos | Speedlab</dc:creator>
  <cp:lastModifiedBy>Kechagias, Konstantinos | Speedlab</cp:lastModifiedBy>
  <dcterms:created xsi:type="dcterms:W3CDTF">2025-12-19T13:26:19Z</dcterms:created>
  <dcterms:modified xsi:type="dcterms:W3CDTF">2026-05-06T11:11:13Z</dcterms:modified>
</cp:coreProperties>
</file>